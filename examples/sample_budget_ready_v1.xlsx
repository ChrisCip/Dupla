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60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Dupla Budget Composer V1</t>
        </is>
      </c>
    </row>
    <row r="2">
      <c r="A2" s="2" t="inlineStr">
        <is>
          <t>Presupuesto</t>
        </is>
      </c>
    </row>
    <row r="3">
      <c r="A3" s="3" t="inlineStr">
        <is>
          <t>Código</t>
        </is>
      </c>
      <c r="B3" s="3" t="inlineStr">
        <is>
          <t>Nat</t>
        </is>
      </c>
      <c r="C3" s="3" t="inlineStr">
        <is>
          <t>Ud</t>
        </is>
      </c>
      <c r="D3" s="3" t="inlineStr">
        <is>
          <t>Resumen</t>
        </is>
      </c>
      <c r="E3" s="3" t="inlineStr">
        <is>
          <t>CanPres</t>
        </is>
      </c>
      <c r="F3" s="3" t="inlineStr">
        <is>
          <t>PrPres</t>
        </is>
      </c>
      <c r="G3" s="3" t="inlineStr">
        <is>
          <t>ImpPres</t>
        </is>
      </c>
    </row>
    <row r="4">
      <c r="A4" s="4" t="inlineStr">
        <is>
          <t>DUP-CH-01</t>
        </is>
      </c>
      <c r="B4" s="4" t="inlineStr">
        <is>
          <t>Capítulo</t>
        </is>
      </c>
      <c r="C4" s="4" t="inlineStr"/>
      <c r="D4" s="4" t="inlineStr">
        <is>
          <t>ESTRUCTURA</t>
        </is>
      </c>
      <c r="E4" s="5">
        <f>E8</f>
        <v/>
      </c>
      <c r="F4" s="5">
        <f>F8</f>
        <v/>
      </c>
      <c r="G4" s="5">
        <f>G8</f>
        <v/>
      </c>
    </row>
    <row r="5">
      <c r="A5" s="4" t="inlineStr">
        <is>
          <t>DUP-CH-01.01</t>
        </is>
      </c>
      <c r="B5" s="4" t="inlineStr">
        <is>
          <t>Capítulo</t>
        </is>
      </c>
      <c r="C5" s="4" t="inlineStr"/>
      <c r="D5" s="4" t="inlineStr">
        <is>
          <t>HORMIGON ARMADO</t>
        </is>
      </c>
      <c r="E5" s="5">
        <f>E7</f>
        <v/>
      </c>
      <c r="F5" s="5">
        <f>F7</f>
        <v/>
      </c>
      <c r="G5" s="5">
        <f>G7</f>
        <v/>
      </c>
    </row>
    <row r="6">
      <c r="A6" s="6" t="inlineStr">
        <is>
          <t>E300100</t>
        </is>
      </c>
      <c r="B6" s="6" t="inlineStr">
        <is>
          <t>Partida</t>
        </is>
      </c>
      <c r="C6" s="6" t="inlineStr">
        <is>
          <t>m3</t>
        </is>
      </c>
      <c r="D6" s="6" t="inlineStr">
        <is>
          <t>Hormigon armado en vigas</t>
        </is>
      </c>
      <c r="E6" s="7" t="n">
        <v>14.25</v>
      </c>
      <c r="F6" s="7" t="n"/>
      <c r="G6" s="7">
        <f>ROUND(E6*F6,2)</f>
        <v/>
      </c>
    </row>
    <row r="7">
      <c r="A7" s="8" t="inlineStr"/>
      <c r="B7" s="8" t="inlineStr">
        <is>
          <t>Subtotal/Cierre de capítulo</t>
        </is>
      </c>
      <c r="C7" s="8" t="inlineStr"/>
      <c r="D7" s="8" t="inlineStr">
        <is>
          <t>Subtotal HORMIGON ARMADO</t>
        </is>
      </c>
      <c r="E7" s="9" t="n">
        <v>1</v>
      </c>
      <c r="F7" s="9">
        <f>SUM(G6)</f>
        <v/>
      </c>
      <c r="G7" s="9">
        <f>ROUND(E7*F7,2)</f>
        <v/>
      </c>
    </row>
    <row r="8">
      <c r="A8" s="8" t="inlineStr"/>
      <c r="B8" s="8" t="inlineStr">
        <is>
          <t>Subtotal/Cierre de capítulo</t>
        </is>
      </c>
      <c r="C8" s="8" t="inlineStr"/>
      <c r="D8" s="8" t="inlineStr">
        <is>
          <t>Subtotal ESTRUCTURA</t>
        </is>
      </c>
      <c r="E8" s="9" t="n">
        <v>1</v>
      </c>
      <c r="F8" s="9">
        <f>SUM(G7)</f>
        <v/>
      </c>
      <c r="G8" s="9">
        <f>ROUND(E8*F8,2)</f>
        <v/>
      </c>
    </row>
    <row r="9">
      <c r="A9" s="4" t="inlineStr">
        <is>
          <t>DUP-CH-05</t>
        </is>
      </c>
      <c r="B9" s="4" t="inlineStr">
        <is>
          <t>Capítulo</t>
        </is>
      </c>
      <c r="C9" s="4" t="inlineStr"/>
      <c r="D9" s="4" t="inlineStr">
        <is>
          <t>TERMINACIONES</t>
        </is>
      </c>
      <c r="E9" s="5">
        <f>E16</f>
        <v/>
      </c>
      <c r="F9" s="5">
        <f>F16</f>
        <v/>
      </c>
      <c r="G9" s="5">
        <f>G16</f>
        <v/>
      </c>
    </row>
    <row r="10">
      <c r="A10" s="4" t="inlineStr">
        <is>
          <t>DUP-CH-05.01</t>
        </is>
      </c>
      <c r="B10" s="4" t="inlineStr">
        <is>
          <t>Capítulo</t>
        </is>
      </c>
      <c r="C10" s="4" t="inlineStr"/>
      <c r="D10" s="4" t="inlineStr">
        <is>
          <t>TERMINACION DE SUPERFICIES</t>
        </is>
      </c>
      <c r="E10" s="5">
        <f>E12</f>
        <v/>
      </c>
      <c r="F10" s="5">
        <f>F12</f>
        <v/>
      </c>
      <c r="G10" s="5">
        <f>G12</f>
        <v/>
      </c>
    </row>
    <row r="11">
      <c r="A11" s="6" t="inlineStr">
        <is>
          <t>DUP-0001</t>
        </is>
      </c>
      <c r="B11" s="6" t="inlineStr">
        <is>
          <t>Partida</t>
        </is>
      </c>
      <c r="C11" s="6" t="inlineStr">
        <is>
          <t>m2</t>
        </is>
      </c>
      <c r="D11" s="6" t="inlineStr">
        <is>
          <t>Pintura en muros interiores</t>
        </is>
      </c>
      <c r="E11" s="7" t="n">
        <v>48</v>
      </c>
      <c r="F11" s="7" t="n"/>
      <c r="G11" s="7">
        <f>ROUND(E11*F11,2)</f>
        <v/>
      </c>
    </row>
    <row r="12">
      <c r="A12" s="8" t="inlineStr"/>
      <c r="B12" s="8" t="inlineStr">
        <is>
          <t>Subtotal/Cierre de capítulo</t>
        </is>
      </c>
      <c r="C12" s="8" t="inlineStr"/>
      <c r="D12" s="8" t="inlineStr">
        <is>
          <t>Subtotal TERMINACION DE SUPERFICIES</t>
        </is>
      </c>
      <c r="E12" s="9" t="n">
        <v>1</v>
      </c>
      <c r="F12" s="9">
        <f>SUM(G11)</f>
        <v/>
      </c>
      <c r="G12" s="9">
        <f>ROUND(E12*F12,2)</f>
        <v/>
      </c>
    </row>
    <row r="13">
      <c r="A13" s="4" t="inlineStr">
        <is>
          <t>DUP-CH-05.02</t>
        </is>
      </c>
      <c r="B13" s="4" t="inlineStr">
        <is>
          <t>Capítulo</t>
        </is>
      </c>
      <c r="C13" s="4" t="inlineStr"/>
      <c r="D13" s="4" t="inlineStr">
        <is>
          <t>TERMINACION DE PISOS</t>
        </is>
      </c>
      <c r="E13" s="5">
        <f>E15</f>
        <v/>
      </c>
      <c r="F13" s="5">
        <f>F15</f>
        <v/>
      </c>
      <c r="G13" s="5">
        <f>G15</f>
        <v/>
      </c>
    </row>
    <row r="14">
      <c r="A14" s="6" t="inlineStr">
        <is>
          <t>DUP-0002</t>
        </is>
      </c>
      <c r="B14" s="6" t="inlineStr">
        <is>
          <t>Partida</t>
        </is>
      </c>
      <c r="C14" s="6" t="inlineStr">
        <is>
          <t>m2</t>
        </is>
      </c>
      <c r="D14" s="6" t="inlineStr">
        <is>
          <t>Terminacion de pisos</t>
        </is>
      </c>
      <c r="E14" s="7" t="n">
        <v>82</v>
      </c>
      <c r="F14" s="7" t="n"/>
      <c r="G14" s="7">
        <f>ROUND(E14*F14,2)</f>
        <v/>
      </c>
    </row>
    <row r="15">
      <c r="A15" s="8" t="inlineStr"/>
      <c r="B15" s="8" t="inlineStr">
        <is>
          <t>Subtotal/Cierre de capítulo</t>
        </is>
      </c>
      <c r="C15" s="8" t="inlineStr"/>
      <c r="D15" s="8" t="inlineStr">
        <is>
          <t>Subtotal TERMINACION DE PISOS</t>
        </is>
      </c>
      <c r="E15" s="9" t="n">
        <v>1</v>
      </c>
      <c r="F15" s="9">
        <f>SUM(G14)</f>
        <v/>
      </c>
      <c r="G15" s="9">
        <f>ROUND(E15*F15,2)</f>
        <v/>
      </c>
    </row>
    <row r="16">
      <c r="A16" s="8" t="inlineStr"/>
      <c r="B16" s="8" t="inlineStr">
        <is>
          <t>Subtotal/Cierre de capítulo</t>
        </is>
      </c>
      <c r="C16" s="8" t="inlineStr"/>
      <c r="D16" s="8" t="inlineStr">
        <is>
          <t>Subtotal TERMINACIONES</t>
        </is>
      </c>
      <c r="E16" s="9" t="n">
        <v>1</v>
      </c>
      <c r="F16" s="9">
        <f>SUM(G12,G15)</f>
        <v/>
      </c>
      <c r="G16" s="9">
        <f>ROUND(E16*F16,2)</f>
        <v/>
      </c>
    </row>
    <row r="17">
      <c r="A17" s="4" t="inlineStr">
        <is>
          <t>DUP-CH-06</t>
        </is>
      </c>
      <c r="B17" s="4" t="inlineStr">
        <is>
          <t>Capítulo</t>
        </is>
      </c>
      <c r="C17" s="4" t="inlineStr"/>
      <c r="D17" s="4" t="inlineStr">
        <is>
          <t>CARPINTERIAS</t>
        </is>
      </c>
      <c r="E17" s="5">
        <f>E24</f>
        <v/>
      </c>
      <c r="F17" s="5">
        <f>F24</f>
        <v/>
      </c>
      <c r="G17" s="5">
        <f>G24</f>
        <v/>
      </c>
    </row>
    <row r="18">
      <c r="A18" s="4" t="inlineStr">
        <is>
          <t>DUP-CH-06.01</t>
        </is>
      </c>
      <c r="B18" s="4" t="inlineStr">
        <is>
          <t>Capítulo</t>
        </is>
      </c>
      <c r="C18" s="4" t="inlineStr"/>
      <c r="D18" s="4" t="inlineStr">
        <is>
          <t>PUERTAS</t>
        </is>
      </c>
      <c r="E18" s="5">
        <f>E20</f>
        <v/>
      </c>
      <c r="F18" s="5">
        <f>F20</f>
        <v/>
      </c>
      <c r="G18" s="5">
        <f>G20</f>
        <v/>
      </c>
    </row>
    <row r="19">
      <c r="A19" s="6" t="inlineStr">
        <is>
          <t>DUP-0003</t>
        </is>
      </c>
      <c r="B19" s="6" t="inlineStr">
        <is>
          <t>Partida</t>
        </is>
      </c>
      <c r="C19" s="6" t="inlineStr">
        <is>
          <t>unit</t>
        </is>
      </c>
      <c r="D19" s="6" t="inlineStr">
        <is>
          <t>Puerta de madera</t>
        </is>
      </c>
      <c r="E19" s="7" t="n">
        <v>6</v>
      </c>
      <c r="F19" s="7" t="n"/>
      <c r="G19" s="7">
        <f>ROUND(E19*F19,2)</f>
        <v/>
      </c>
    </row>
    <row r="20">
      <c r="A20" s="8" t="inlineStr"/>
      <c r="B20" s="8" t="inlineStr">
        <is>
          <t>Subtotal/Cierre de capítulo</t>
        </is>
      </c>
      <c r="C20" s="8" t="inlineStr"/>
      <c r="D20" s="8" t="inlineStr">
        <is>
          <t>Subtotal PUERTAS</t>
        </is>
      </c>
      <c r="E20" s="9" t="n">
        <v>1</v>
      </c>
      <c r="F20" s="9">
        <f>SUM(G19)</f>
        <v/>
      </c>
      <c r="G20" s="9">
        <f>ROUND(E20*F20,2)</f>
        <v/>
      </c>
    </row>
    <row r="21">
      <c r="A21" s="4" t="inlineStr">
        <is>
          <t>DUP-CH-06.02</t>
        </is>
      </c>
      <c r="B21" s="4" t="inlineStr">
        <is>
          <t>Capítulo</t>
        </is>
      </c>
      <c r="C21" s="4" t="inlineStr"/>
      <c r="D21" s="4" t="inlineStr">
        <is>
          <t>VENTANAS</t>
        </is>
      </c>
      <c r="E21" s="5">
        <f>E23</f>
        <v/>
      </c>
      <c r="F21" s="5">
        <f>F23</f>
        <v/>
      </c>
      <c r="G21" s="5">
        <f>G23</f>
        <v/>
      </c>
    </row>
    <row r="22">
      <c r="A22" s="6" t="inlineStr">
        <is>
          <t>V220310</t>
        </is>
      </c>
      <c r="B22" s="6" t="inlineStr">
        <is>
          <t>Partida</t>
        </is>
      </c>
      <c r="C22" s="6" t="inlineStr">
        <is>
          <t>m2</t>
        </is>
      </c>
      <c r="D22" s="6" t="inlineStr">
        <is>
          <t>Sellado perimetral de ventanas</t>
        </is>
      </c>
      <c r="E22" s="7" t="n">
        <v>18.5</v>
      </c>
      <c r="F22" s="7" t="n"/>
      <c r="G22" s="7">
        <f>ROUND(E22*F22,2)</f>
        <v/>
      </c>
    </row>
    <row r="23">
      <c r="A23" s="8" t="inlineStr"/>
      <c r="B23" s="8" t="inlineStr">
        <is>
          <t>Subtotal/Cierre de capítulo</t>
        </is>
      </c>
      <c r="C23" s="8" t="inlineStr"/>
      <c r="D23" s="8" t="inlineStr">
        <is>
          <t>Subtotal VENTANAS</t>
        </is>
      </c>
      <c r="E23" s="9" t="n">
        <v>1</v>
      </c>
      <c r="F23" s="9">
        <f>SUM(G22)</f>
        <v/>
      </c>
      <c r="G23" s="9">
        <f>ROUND(E23*F23,2)</f>
        <v/>
      </c>
    </row>
    <row r="24">
      <c r="A24" s="8" t="inlineStr"/>
      <c r="B24" s="8" t="inlineStr">
        <is>
          <t>Subtotal/Cierre de capítulo</t>
        </is>
      </c>
      <c r="C24" s="8" t="inlineStr"/>
      <c r="D24" s="8" t="inlineStr">
        <is>
          <t>Subtotal CARPINTERIAS</t>
        </is>
      </c>
      <c r="E24" s="9" t="n">
        <v>1</v>
      </c>
      <c r="F24" s="9">
        <f>SUM(G20,G23)</f>
        <v/>
      </c>
      <c r="G24" s="9">
        <f>ROUND(E24*F24,2)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2026-03-23T19:02:05Z</dcterms:created>
  <dcterms:modified xsi:type="dcterms:W3CDTF">2026-03-23T19:02:05Z</dcterms:modified>
</cp:coreProperties>
</file>