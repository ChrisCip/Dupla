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Código</t>
        </is>
      </c>
      <c r="B1" t="inlineStr">
        <is>
          <t>Nat</t>
        </is>
      </c>
      <c r="C1" t="inlineStr">
        <is>
          <t>Ud</t>
        </is>
      </c>
      <c r="D1" t="inlineStr">
        <is>
          <t>Resumen</t>
        </is>
      </c>
      <c r="E1" t="inlineStr">
        <is>
          <t>CanPres</t>
        </is>
      </c>
      <c r="F1" t="inlineStr">
        <is>
          <t>PrPres</t>
        </is>
      </c>
      <c r="G1" t="inlineStr">
        <is>
          <t>ImpPres</t>
        </is>
      </c>
      <c r="H1" t="inlineStr">
        <is>
          <t>Corrección Código</t>
        </is>
      </c>
      <c r="I1" t="inlineStr">
        <is>
          <t>Corrección Cantidad</t>
        </is>
      </c>
      <c r="J1" t="inlineStr">
        <is>
          <t>Corrección Unidad</t>
        </is>
      </c>
      <c r="K1" t="inlineStr">
        <is>
          <t>Tipo Corrección</t>
        </is>
      </c>
      <c r="L1" t="inlineStr">
        <is>
          <t>Notas Revisor</t>
        </is>
      </c>
    </row>
    <row r="2">
      <c r="A2" t="inlineStr">
        <is>
          <t>DUP-CH-01</t>
        </is>
      </c>
      <c r="B2" t="inlineStr">
        <is>
          <t>Capítulo</t>
        </is>
      </c>
      <c r="C2" t="inlineStr"/>
      <c r="D2" t="inlineStr">
        <is>
          <t>ESTRUCTURA</t>
        </is>
      </c>
      <c r="E2">
        <f>E24</f>
        <v/>
      </c>
      <c r="F2">
        <f>F24</f>
        <v/>
      </c>
      <c r="G2">
        <f>G24</f>
        <v/>
      </c>
      <c r="H2" t="inlineStr"/>
      <c r="I2" t="inlineStr"/>
      <c r="J2" t="inlineStr"/>
      <c r="K2" t="inlineStr"/>
      <c r="L2" t="inlineStr"/>
    </row>
    <row r="3">
      <c r="A3" t="inlineStr">
        <is>
          <t>DUP-CH-01.01</t>
        </is>
      </c>
      <c r="B3" t="inlineStr">
        <is>
          <t>Capítulo</t>
        </is>
      </c>
      <c r="C3" t="inlineStr"/>
      <c r="D3" t="inlineStr">
        <is>
          <t>HORMIGON ARMADO</t>
        </is>
      </c>
      <c r="E3">
        <f>E15</f>
        <v/>
      </c>
      <c r="F3">
        <f>F15</f>
        <v/>
      </c>
      <c r="G3">
        <f>G15</f>
        <v/>
      </c>
      <c r="H3" t="inlineStr"/>
      <c r="I3" t="inlineStr"/>
      <c r="J3" t="inlineStr"/>
      <c r="K3" t="inlineStr"/>
      <c r="L3" t="inlineStr"/>
    </row>
    <row r="4">
      <c r="A4" t="inlineStr">
        <is>
          <t>P030322</t>
        </is>
      </c>
      <c r="B4" t="inlineStr">
        <is>
          <t>Partida</t>
        </is>
      </c>
      <c r="C4" t="inlineStr">
        <is>
          <t>m3</t>
        </is>
      </c>
      <c r="D4" t="inlineStr">
        <is>
          <t>Columna C3  0.80 x 0.50 - 20 Ø1", 3 Est Ø3/8"@0.10</t>
        </is>
      </c>
      <c r="E4" t="n">
        <v>0.448</v>
      </c>
      <c r="F4" t="n">
        <v>56653.47</v>
      </c>
      <c r="G4">
        <f>ROUND(E6*F6,2)</f>
        <v/>
      </c>
      <c r="H4" t="inlineStr"/>
      <c r="I4" t="inlineStr"/>
      <c r="J4" t="inlineStr"/>
      <c r="K4" t="inlineStr"/>
      <c r="L4" t="inlineStr"/>
    </row>
    <row r="5">
      <c r="A5" t="inlineStr">
        <is>
          <t>P030322</t>
        </is>
      </c>
      <c r="B5" t="inlineStr">
        <is>
          <t>Partida</t>
        </is>
      </c>
      <c r="C5" t="inlineStr">
        <is>
          <t>m3</t>
        </is>
      </c>
      <c r="D5" t="inlineStr">
        <is>
          <t>Columna C3  0.80 x 0.50 - 20 Ø1", 3 Est Ø3/8"@0.10</t>
        </is>
      </c>
      <c r="E5" t="n">
        <v>0.448</v>
      </c>
      <c r="F5" t="n">
        <v>56653.47</v>
      </c>
      <c r="G5">
        <f>ROUND(E7*F7,2)</f>
        <v/>
      </c>
      <c r="H5" t="inlineStr"/>
      <c r="I5" t="inlineStr"/>
      <c r="J5" t="inlineStr"/>
      <c r="K5" t="inlineStr"/>
      <c r="L5" t="inlineStr"/>
    </row>
    <row r="6">
      <c r="A6" t="inlineStr">
        <is>
          <t>P030322</t>
        </is>
      </c>
      <c r="B6" t="inlineStr">
        <is>
          <t>Partida</t>
        </is>
      </c>
      <c r="C6" t="inlineStr">
        <is>
          <t>m3</t>
        </is>
      </c>
      <c r="D6" t="inlineStr">
        <is>
          <t>Columna C3  0.80 x 0.50 - 20 Ø1", 3 Est Ø3/8"@0.10</t>
        </is>
      </c>
      <c r="E6" t="n">
        <v>0.448</v>
      </c>
      <c r="F6" t="n">
        <v>56653.47</v>
      </c>
      <c r="G6">
        <f>ROUND(E8*F8,2)</f>
        <v/>
      </c>
      <c r="H6" t="inlineStr"/>
      <c r="I6" t="inlineStr"/>
      <c r="J6" t="inlineStr"/>
      <c r="K6" t="inlineStr"/>
      <c r="L6" t="inlineStr"/>
    </row>
    <row r="7">
      <c r="A7" t="inlineStr">
        <is>
          <t>DUP-0001</t>
        </is>
      </c>
      <c r="B7" t="inlineStr">
        <is>
          <t>Partida</t>
        </is>
      </c>
      <c r="C7" t="inlineStr">
        <is>
          <t>m2</t>
        </is>
      </c>
      <c r="D7" t="inlineStr">
        <is>
          <t>Elemento estructural</t>
        </is>
      </c>
      <c r="E7" t="n">
        <v>25817.6100000001</v>
      </c>
      <c r="G7">
        <f>ROUND(E9*F9,2)</f>
        <v/>
      </c>
      <c r="H7" t="inlineStr"/>
      <c r="I7" t="inlineStr"/>
      <c r="J7" t="inlineStr"/>
      <c r="K7" t="inlineStr"/>
      <c r="L7" t="inlineStr"/>
    </row>
    <row r="8">
      <c r="A8" t="inlineStr">
        <is>
          <t>DUP-0002</t>
        </is>
      </c>
      <c r="B8" t="inlineStr">
        <is>
          <t>Partida</t>
        </is>
      </c>
      <c r="C8" t="inlineStr">
        <is>
          <t>m2</t>
        </is>
      </c>
      <c r="D8" t="inlineStr">
        <is>
          <t>Elemento estructural</t>
        </is>
      </c>
      <c r="E8" t="n">
        <v>172787.5599999998</v>
      </c>
      <c r="G8">
        <f>ROUND(E10*F10,2)</f>
        <v/>
      </c>
      <c r="H8" t="inlineStr"/>
      <c r="I8" t="inlineStr"/>
      <c r="J8" t="inlineStr"/>
      <c r="K8" t="inlineStr"/>
      <c r="L8" t="inlineStr"/>
    </row>
    <row r="9">
      <c r="A9" t="inlineStr">
        <is>
          <t>DUP-0003</t>
        </is>
      </c>
      <c r="B9" t="inlineStr">
        <is>
          <t>Partida</t>
        </is>
      </c>
      <c r="C9" t="inlineStr">
        <is>
          <t>m2</t>
        </is>
      </c>
      <c r="D9" t="inlineStr">
        <is>
          <t>Elemento estructural</t>
        </is>
      </c>
      <c r="E9" t="n">
        <v>1000000</v>
      </c>
      <c r="G9">
        <f>ROUND(E11*F11,2)</f>
        <v/>
      </c>
      <c r="H9" t="inlineStr"/>
      <c r="I9" t="inlineStr"/>
      <c r="J9" t="inlineStr"/>
      <c r="K9" t="inlineStr"/>
      <c r="L9" t="inlineStr"/>
    </row>
    <row r="10">
      <c r="A10" t="inlineStr">
        <is>
          <t>P0303105</t>
        </is>
      </c>
      <c r="B10" t="inlineStr">
        <is>
          <t>Partida</t>
        </is>
      </c>
      <c r="C10" t="inlineStr">
        <is>
          <t>m3</t>
        </is>
      </c>
      <c r="D10" t="inlineStr">
        <is>
          <t>Viga de Amarre (0.30m x 0.20m)</t>
        </is>
      </c>
      <c r="E10" t="n">
        <v>51570.9</v>
      </c>
      <c r="F10" t="n">
        <v>41607.18</v>
      </c>
      <c r="G10">
        <f>ROUND(E12*F12,2)</f>
        <v/>
      </c>
      <c r="H10" t="inlineStr"/>
      <c r="I10" t="inlineStr"/>
      <c r="J10" t="inlineStr"/>
      <c r="K10" t="inlineStr"/>
      <c r="L10" t="inlineStr"/>
    </row>
    <row r="11">
      <c r="A11" t="inlineStr">
        <is>
          <t>P0303105</t>
        </is>
      </c>
      <c r="B11" t="inlineStr">
        <is>
          <t>Partida</t>
        </is>
      </c>
      <c r="C11" t="inlineStr">
        <is>
          <t>m3</t>
        </is>
      </c>
      <c r="D11" t="inlineStr">
        <is>
          <t>Viga de Amarre (0.30m x 0.20m)</t>
        </is>
      </c>
      <c r="E11" t="n">
        <v>2916</v>
      </c>
      <c r="F11" t="n">
        <v>41607.18</v>
      </c>
      <c r="G11">
        <f>ROUND(E13*F13,2)</f>
        <v/>
      </c>
      <c r="H11" t="inlineStr"/>
      <c r="I11" t="inlineStr"/>
      <c r="J11" t="inlineStr"/>
      <c r="K11" t="inlineStr"/>
      <c r="L11" t="inlineStr"/>
    </row>
    <row r="12">
      <c r="A12" t="inlineStr">
        <is>
          <t>P0303105</t>
        </is>
      </c>
      <c r="B12" t="inlineStr">
        <is>
          <t>Partida</t>
        </is>
      </c>
      <c r="C12" t="inlineStr">
        <is>
          <t>m3</t>
        </is>
      </c>
      <c r="D12" t="inlineStr">
        <is>
          <t>Viga de Amarre (0.30m x 0.20m)</t>
        </is>
      </c>
      <c r="E12" t="n">
        <v>76762.5</v>
      </c>
      <c r="F12" t="n">
        <v>41607.18</v>
      </c>
      <c r="G12">
        <f>ROUND(E14*F14,2)</f>
        <v/>
      </c>
      <c r="H12" t="inlineStr"/>
      <c r="I12" t="inlineStr"/>
      <c r="J12" t="inlineStr"/>
      <c r="K12" t="inlineStr"/>
      <c r="L12" t="inlineStr"/>
    </row>
    <row r="13">
      <c r="A13" t="inlineStr"/>
      <c r="B13" t="inlineStr">
        <is>
          <t>Subtotal/Cierre de capítulo</t>
        </is>
      </c>
      <c r="C13" t="inlineStr"/>
      <c r="D13" t="inlineStr">
        <is>
          <t>Subtotal HORMIGON ARMADO</t>
        </is>
      </c>
      <c r="E13" t="n">
        <v>1</v>
      </c>
      <c r="F13">
        <f>SUM(G6,G7,G8,G9,G10,G11,G12,G13,G14)</f>
        <v/>
      </c>
      <c r="G13">
        <f>ROUND(E15*F15,2)</f>
        <v/>
      </c>
      <c r="H13" t="inlineStr"/>
      <c r="I13" t="inlineStr"/>
      <c r="J13" t="inlineStr"/>
      <c r="K13" t="inlineStr"/>
      <c r="L13" t="inlineStr"/>
    </row>
    <row r="14">
      <c r="A14" t="inlineStr">
        <is>
          <t>DUP-CH-01.02</t>
        </is>
      </c>
      <c r="B14" t="inlineStr">
        <is>
          <t>Capítulo</t>
        </is>
      </c>
      <c r="C14" t="inlineStr"/>
      <c r="D14" t="inlineStr">
        <is>
          <t>ENCOFRADOS</t>
        </is>
      </c>
      <c r="E14">
        <f>E23</f>
        <v/>
      </c>
      <c r="F14">
        <f>F23</f>
        <v/>
      </c>
      <c r="G14">
        <f>G23</f>
        <v/>
      </c>
      <c r="H14" t="inlineStr"/>
      <c r="I14" t="inlineStr"/>
      <c r="J14" t="inlineStr"/>
      <c r="K14" t="inlineStr"/>
      <c r="L14" t="inlineStr"/>
    </row>
    <row r="15">
      <c r="A15" t="inlineStr">
        <is>
          <t>H0502291</t>
        </is>
      </c>
      <c r="B15" t="inlineStr">
        <is>
          <t>Partida</t>
        </is>
      </c>
      <c r="C15" t="inlineStr">
        <is>
          <t>m2</t>
        </is>
      </c>
      <c r="D15" t="inlineStr">
        <is>
          <t>M.O. Encofrado columnna</t>
        </is>
      </c>
      <c r="E15" t="n">
        <v>4.48</v>
      </c>
      <c r="F15" t="n">
        <v>806</v>
      </c>
      <c r="G15">
        <f>ROUND(E17*F17,2)</f>
        <v/>
      </c>
      <c r="H15" t="inlineStr"/>
      <c r="I15" t="inlineStr"/>
      <c r="J15" t="inlineStr"/>
      <c r="K15" t="inlineStr"/>
      <c r="L15" t="inlineStr"/>
    </row>
    <row r="16">
      <c r="A16" t="inlineStr">
        <is>
          <t>H0502291</t>
        </is>
      </c>
      <c r="B16" t="inlineStr">
        <is>
          <t>Partida</t>
        </is>
      </c>
      <c r="C16" t="inlineStr">
        <is>
          <t>m2</t>
        </is>
      </c>
      <c r="D16" t="inlineStr">
        <is>
          <t>M.O. Encofrado columnna</t>
        </is>
      </c>
      <c r="E16" t="n">
        <v>4.48</v>
      </c>
      <c r="F16" t="n">
        <v>806</v>
      </c>
      <c r="G16">
        <f>ROUND(E18*F18,2)</f>
        <v/>
      </c>
      <c r="H16" t="inlineStr"/>
      <c r="I16" t="inlineStr"/>
      <c r="J16" t="inlineStr"/>
      <c r="K16" t="inlineStr"/>
      <c r="L16" t="inlineStr"/>
    </row>
    <row r="17">
      <c r="A17" t="inlineStr">
        <is>
          <t>H0502291</t>
        </is>
      </c>
      <c r="B17" t="inlineStr">
        <is>
          <t>Partida</t>
        </is>
      </c>
      <c r="C17" t="inlineStr">
        <is>
          <t>m2</t>
        </is>
      </c>
      <c r="D17" t="inlineStr">
        <is>
          <t>M.O. Encofrado columnna</t>
        </is>
      </c>
      <c r="E17" t="n">
        <v>4.48</v>
      </c>
      <c r="F17" t="n">
        <v>806</v>
      </c>
      <c r="G17">
        <f>ROUND(E19*F19,2)</f>
        <v/>
      </c>
      <c r="H17" t="inlineStr"/>
      <c r="I17" t="inlineStr"/>
      <c r="J17" t="inlineStr"/>
      <c r="K17" t="inlineStr"/>
      <c r="L17" t="inlineStr"/>
    </row>
    <row r="18">
      <c r="A18" t="inlineStr">
        <is>
          <t>H0502195</t>
        </is>
      </c>
      <c r="B18" t="inlineStr">
        <is>
          <t>Partida</t>
        </is>
      </c>
      <c r="C18" t="inlineStr">
        <is>
          <t>m2</t>
        </is>
      </c>
      <c r="D18" t="inlineStr">
        <is>
          <t>M.O. Encofrado Vigas</t>
        </is>
      </c>
      <c r="E18" t="n">
        <v>446947.8</v>
      </c>
      <c r="F18" t="n">
        <v>1400</v>
      </c>
      <c r="G18">
        <f>ROUND(E20*F20,2)</f>
        <v/>
      </c>
      <c r="H18" t="inlineStr"/>
      <c r="I18" t="inlineStr"/>
      <c r="J18" t="inlineStr"/>
      <c r="K18" t="inlineStr"/>
      <c r="L18" t="inlineStr"/>
    </row>
    <row r="19">
      <c r="A19" t="inlineStr">
        <is>
          <t>H0502195</t>
        </is>
      </c>
      <c r="B19" t="inlineStr">
        <is>
          <t>Partida</t>
        </is>
      </c>
      <c r="C19" t="inlineStr">
        <is>
          <t>m2</t>
        </is>
      </c>
      <c r="D19" t="inlineStr">
        <is>
          <t>M.O. Encofrado Vigas</t>
        </is>
      </c>
      <c r="E19" t="n">
        <v>25272</v>
      </c>
      <c r="F19" t="n">
        <v>1400</v>
      </c>
      <c r="G19">
        <f>ROUND(E21*F21,2)</f>
        <v/>
      </c>
      <c r="H19" t="inlineStr"/>
      <c r="I19" t="inlineStr"/>
      <c r="J19" t="inlineStr"/>
      <c r="K19" t="inlineStr"/>
      <c r="L19" t="inlineStr"/>
    </row>
    <row r="20">
      <c r="A20" t="inlineStr">
        <is>
          <t>H0502195</t>
        </is>
      </c>
      <c r="B20" t="inlineStr">
        <is>
          <t>Partida</t>
        </is>
      </c>
      <c r="C20" t="inlineStr">
        <is>
          <t>m2</t>
        </is>
      </c>
      <c r="D20" t="inlineStr">
        <is>
          <t>M.O. Encofrado Vigas</t>
        </is>
      </c>
      <c r="E20" t="n">
        <v>665275</v>
      </c>
      <c r="F20" t="n">
        <v>1400</v>
      </c>
      <c r="G20">
        <f>ROUND(E22*F22,2)</f>
        <v/>
      </c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Subtotal/Cierre de capítulo</t>
        </is>
      </c>
      <c r="C21" t="inlineStr"/>
      <c r="D21" t="inlineStr">
        <is>
          <t>Subtotal ENCOFRADOS</t>
        </is>
      </c>
      <c r="E21" t="n">
        <v>1</v>
      </c>
      <c r="F21">
        <f>SUM(G17,G18,G19,G20,G21,G22)</f>
        <v/>
      </c>
      <c r="G21">
        <f>ROUND(E23*F23,2)</f>
        <v/>
      </c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Subtotal/Cierre de capítulo</t>
        </is>
      </c>
      <c r="C22" t="inlineStr"/>
      <c r="D22" t="inlineStr">
        <is>
          <t>Subtotal ESTRUCTURA</t>
        </is>
      </c>
      <c r="E22" t="n">
        <v>1</v>
      </c>
      <c r="F22">
        <f>SUM(G15,G23)</f>
        <v/>
      </c>
      <c r="G22">
        <f>ROUND(E24*F24,2)</f>
        <v/>
      </c>
      <c r="H22" t="inlineStr"/>
      <c r="I22" t="inlineStr"/>
      <c r="J22" t="inlineStr"/>
      <c r="K22" t="inlineStr"/>
      <c r="L22" t="inlineStr"/>
    </row>
    <row r="23">
      <c r="A23" t="inlineStr">
        <is>
          <t>DUP-CH-04</t>
        </is>
      </c>
      <c r="B23" t="inlineStr">
        <is>
          <t>Capítulo</t>
        </is>
      </c>
      <c r="C23" t="inlineStr"/>
      <c r="D23" t="inlineStr">
        <is>
          <t>IMPERMEABILIZACION</t>
        </is>
      </c>
      <c r="E23">
        <f>E30</f>
        <v/>
      </c>
      <c r="F23">
        <f>F30</f>
        <v/>
      </c>
      <c r="G23">
        <f>G30</f>
        <v/>
      </c>
      <c r="H23" t="inlineStr"/>
      <c r="I23" t="inlineStr"/>
      <c r="J23" t="inlineStr"/>
      <c r="K23" t="inlineStr"/>
      <c r="L23" t="inlineStr"/>
    </row>
    <row r="24">
      <c r="A24" t="inlineStr">
        <is>
          <t>DUP-CH-04.01</t>
        </is>
      </c>
      <c r="B24" t="inlineStr">
        <is>
          <t>Capítulo</t>
        </is>
      </c>
      <c r="C24" t="inlineStr"/>
      <c r="D24" t="inlineStr">
        <is>
          <t>TERMINACIONES HUMEDAS</t>
        </is>
      </c>
      <c r="E24">
        <f>E29</f>
        <v/>
      </c>
      <c r="F24">
        <f>F29</f>
        <v/>
      </c>
      <c r="G24">
        <f>G29</f>
        <v/>
      </c>
      <c r="H24" t="inlineStr"/>
      <c r="I24" t="inlineStr"/>
      <c r="J24" t="inlineStr"/>
      <c r="K24" t="inlineStr"/>
      <c r="L24" t="inlineStr"/>
    </row>
    <row r="25">
      <c r="A25" t="inlineStr">
        <is>
          <t>H0402200</t>
        </is>
      </c>
      <c r="B25" t="inlineStr">
        <is>
          <t>Partida</t>
        </is>
      </c>
      <c r="C25" t="inlineStr">
        <is>
          <t>m2</t>
        </is>
      </c>
      <c r="D25" t="inlineStr">
        <is>
          <t>M.O. Aplicacion Impermeabilizante</t>
        </is>
      </c>
      <c r="E25" t="n">
        <v>4</v>
      </c>
      <c r="F25" t="n">
        <v>250</v>
      </c>
      <c r="G25">
        <f>ROUND(E27*F27,2)</f>
        <v/>
      </c>
      <c r="H25" t="inlineStr"/>
      <c r="I25" t="inlineStr"/>
      <c r="J25" t="inlineStr"/>
      <c r="K25" t="inlineStr"/>
      <c r="L25" t="inlineStr"/>
    </row>
    <row r="26">
      <c r="A26" t="inlineStr">
        <is>
          <t>H0402200</t>
        </is>
      </c>
      <c r="B26" t="inlineStr">
        <is>
          <t>Partida</t>
        </is>
      </c>
      <c r="C26" t="inlineStr">
        <is>
          <t>m2</t>
        </is>
      </c>
      <c r="D26" t="inlineStr">
        <is>
          <t>M.O. Aplicacion Impermeabilizante</t>
        </is>
      </c>
      <c r="E26" t="n">
        <v>10</v>
      </c>
      <c r="F26" t="n">
        <v>250</v>
      </c>
      <c r="G26">
        <f>ROUND(E28*F28,2)</f>
        <v/>
      </c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Subtotal/Cierre de capítulo</t>
        </is>
      </c>
      <c r="C27" t="inlineStr"/>
      <c r="D27" t="inlineStr">
        <is>
          <t>Subtotal TERMINACIONES HUMEDAS</t>
        </is>
      </c>
      <c r="E27" t="n">
        <v>1</v>
      </c>
      <c r="F27">
        <f>SUM(G27,G28)</f>
        <v/>
      </c>
      <c r="G27">
        <f>ROUND(E29*F29,2)</f>
        <v/>
      </c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Subtotal/Cierre de capítulo</t>
        </is>
      </c>
      <c r="C28" t="inlineStr"/>
      <c r="D28" t="inlineStr">
        <is>
          <t>Subtotal IMPERMEABILIZACION</t>
        </is>
      </c>
      <c r="E28" t="n">
        <v>1</v>
      </c>
      <c r="F28">
        <f>SUM(G29)</f>
        <v/>
      </c>
      <c r="G28">
        <f>ROUND(E30*F30,2)</f>
        <v/>
      </c>
      <c r="H28" t="inlineStr"/>
      <c r="I28" t="inlineStr"/>
      <c r="J28" t="inlineStr"/>
      <c r="K28" t="inlineStr"/>
      <c r="L28" t="inlineStr"/>
    </row>
    <row r="29">
      <c r="A29" t="inlineStr">
        <is>
          <t>DUP-CH-05</t>
        </is>
      </c>
      <c r="B29" t="inlineStr">
        <is>
          <t>Capítulo</t>
        </is>
      </c>
      <c r="C29" t="inlineStr"/>
      <c r="D29" t="inlineStr">
        <is>
          <t>TERMINACIONES</t>
        </is>
      </c>
      <c r="E29">
        <f>E38</f>
        <v/>
      </c>
      <c r="F29">
        <f>F38</f>
        <v/>
      </c>
      <c r="G29">
        <f>G38</f>
        <v/>
      </c>
      <c r="H29" t="inlineStr"/>
      <c r="I29" t="inlineStr"/>
      <c r="J29" t="inlineStr"/>
      <c r="K29" t="inlineStr"/>
      <c r="L29" t="inlineStr"/>
    </row>
    <row r="30">
      <c r="A30" t="inlineStr">
        <is>
          <t>DUP-CH-05.04</t>
        </is>
      </c>
      <c r="B30" t="inlineStr">
        <is>
          <t>Capítulo</t>
        </is>
      </c>
      <c r="C30" t="inlineStr"/>
      <c r="D30" t="inlineStr">
        <is>
          <t>TERMINACIONES HUMEDAS</t>
        </is>
      </c>
      <c r="E30">
        <f>E34</f>
        <v/>
      </c>
      <c r="F30">
        <f>F34</f>
        <v/>
      </c>
      <c r="G30">
        <f>G34</f>
        <v/>
      </c>
      <c r="H30" t="inlineStr"/>
      <c r="I30" t="inlineStr"/>
      <c r="J30" t="inlineStr"/>
      <c r="K30" t="inlineStr"/>
      <c r="L30" t="inlineStr"/>
    </row>
    <row r="31">
      <c r="A31" t="inlineStr">
        <is>
          <t>M1602008</t>
        </is>
      </c>
      <c r="B31" t="inlineStr">
        <is>
          <t>Partida</t>
        </is>
      </c>
      <c r="C31" t="inlineStr">
        <is>
          <t>m2</t>
        </is>
      </c>
      <c r="D31" t="inlineStr">
        <is>
          <t>Cerámica 0.30x0.60m +10% desp</t>
        </is>
      </c>
      <c r="E31" t="n">
        <v>10</v>
      </c>
      <c r="F31" t="n">
        <v>1500</v>
      </c>
      <c r="G31">
        <f>ROUND(E33*F33,2)</f>
        <v/>
      </c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Subtotal/Cierre de capítulo</t>
        </is>
      </c>
      <c r="C32" t="inlineStr"/>
      <c r="D32" t="inlineStr">
        <is>
          <t>Subtotal TERMINACIONES HUMEDAS</t>
        </is>
      </c>
      <c r="E32" t="n">
        <v>1</v>
      </c>
      <c r="F32">
        <f>SUM(G33)</f>
        <v/>
      </c>
      <c r="G32">
        <f>ROUND(E34*F34,2)</f>
        <v/>
      </c>
      <c r="H32" t="inlineStr"/>
      <c r="I32" t="inlineStr"/>
      <c r="J32" t="inlineStr"/>
      <c r="K32" t="inlineStr"/>
      <c r="L32" t="inlineStr"/>
    </row>
    <row r="33">
      <c r="A33" t="inlineStr">
        <is>
          <t>DUP-CH-05.06</t>
        </is>
      </c>
      <c r="B33" t="inlineStr">
        <is>
          <t>Capítulo</t>
        </is>
      </c>
      <c r="C33" t="inlineStr"/>
      <c r="D33" t="inlineStr">
        <is>
          <t>ESCALERAS</t>
        </is>
      </c>
      <c r="E33">
        <f>E37</f>
        <v/>
      </c>
      <c r="F33">
        <f>F37</f>
        <v/>
      </c>
      <c r="G33">
        <f>G37</f>
        <v/>
      </c>
      <c r="H33" t="inlineStr"/>
      <c r="I33" t="inlineStr"/>
      <c r="J33" t="inlineStr"/>
      <c r="K33" t="inlineStr"/>
      <c r="L33" t="inlineStr"/>
    </row>
    <row r="34">
      <c r="A34" t="inlineStr">
        <is>
          <t>DUP-0004</t>
        </is>
      </c>
      <c r="B34" t="inlineStr">
        <is>
          <t>Partida</t>
        </is>
      </c>
      <c r="C34" t="inlineStr">
        <is>
          <t>unit</t>
        </is>
      </c>
      <c r="D34" t="inlineStr">
        <is>
          <t>Stair count</t>
        </is>
      </c>
      <c r="E34" t="n">
        <v>1</v>
      </c>
      <c r="G34">
        <f>ROUND(E36*F36,2)</f>
        <v/>
      </c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Subtotal/Cierre de capítulo</t>
        </is>
      </c>
      <c r="C35" t="inlineStr"/>
      <c r="D35" t="inlineStr">
        <is>
          <t>Subtotal ESCALERAS</t>
        </is>
      </c>
      <c r="E35" t="n">
        <v>1</v>
      </c>
      <c r="F35">
        <f>SUM(G36)</f>
        <v/>
      </c>
      <c r="G35">
        <f>ROUND(E37*F37,2)</f>
        <v/>
      </c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Subtotal/Cierre de capítulo</t>
        </is>
      </c>
      <c r="C36" t="inlineStr"/>
      <c r="D36" t="inlineStr">
        <is>
          <t>Subtotal TERMINACIONES</t>
        </is>
      </c>
      <c r="E36" t="n">
        <v>1</v>
      </c>
      <c r="F36">
        <f>SUM(G34,G37)</f>
        <v/>
      </c>
      <c r="G36">
        <f>ROUND(E38*F38,2)</f>
        <v/>
      </c>
      <c r="H36" t="inlineStr"/>
      <c r="I36" t="inlineStr"/>
      <c r="J36" t="inlineStr"/>
      <c r="K36" t="inlineStr"/>
      <c r="L36" t="inlineStr"/>
    </row>
    <row r="37">
      <c r="A37" t="inlineStr">
        <is>
          <t>DUP-CH-06</t>
        </is>
      </c>
      <c r="B37" t="inlineStr">
        <is>
          <t>Capítulo</t>
        </is>
      </c>
      <c r="C37" t="inlineStr"/>
      <c r="D37" t="inlineStr">
        <is>
          <t>CARPINTERIAS</t>
        </is>
      </c>
      <c r="E37">
        <f>E49</f>
        <v/>
      </c>
      <c r="F37">
        <f>F49</f>
        <v/>
      </c>
      <c r="G37">
        <f>G49</f>
        <v/>
      </c>
      <c r="H37" t="inlineStr"/>
      <c r="I37" t="inlineStr"/>
      <c r="J37" t="inlineStr"/>
      <c r="K37" t="inlineStr"/>
      <c r="L37" t="inlineStr"/>
    </row>
    <row r="38">
      <c r="A38" t="inlineStr">
        <is>
          <t>DUP-CH-06.01</t>
        </is>
      </c>
      <c r="B38" t="inlineStr">
        <is>
          <t>Capítulo</t>
        </is>
      </c>
      <c r="C38" t="inlineStr"/>
      <c r="D38" t="inlineStr">
        <is>
          <t>PUERTAS</t>
        </is>
      </c>
      <c r="E38">
        <f>E45</f>
        <v/>
      </c>
      <c r="F38">
        <f>F45</f>
        <v/>
      </c>
      <c r="G38">
        <f>G45</f>
        <v/>
      </c>
      <c r="H38" t="inlineStr"/>
      <c r="I38" t="inlineStr"/>
      <c r="J38" t="inlineStr"/>
      <c r="K38" t="inlineStr"/>
      <c r="L38" t="inlineStr"/>
    </row>
    <row r="39">
      <c r="A39" t="inlineStr">
        <is>
          <t>H08P1010</t>
        </is>
      </c>
      <c r="B39" t="inlineStr">
        <is>
          <t>Partida</t>
        </is>
      </c>
      <c r="C39" t="inlineStr">
        <is>
          <t>unit</t>
        </is>
      </c>
      <c r="D39" t="inlineStr">
        <is>
          <t>Inst. Puerta metalica blanca Inc. Llavin</t>
        </is>
      </c>
      <c r="E39" t="n">
        <v>4</v>
      </c>
      <c r="F39" t="n">
        <v>3275</v>
      </c>
      <c r="G39">
        <f>ROUND(E41*F41,2)</f>
        <v/>
      </c>
      <c r="H39" t="inlineStr"/>
      <c r="I39" t="inlineStr"/>
      <c r="J39" t="inlineStr"/>
      <c r="K39" t="inlineStr"/>
      <c r="L39" t="inlineStr"/>
    </row>
    <row r="40">
      <c r="A40" t="inlineStr">
        <is>
          <t>H08P1010</t>
        </is>
      </c>
      <c r="B40" t="inlineStr">
        <is>
          <t>Partida</t>
        </is>
      </c>
      <c r="C40" t="inlineStr">
        <is>
          <t>unit</t>
        </is>
      </c>
      <c r="D40" t="inlineStr">
        <is>
          <t>Inst. Puerta metalica blanca Inc. Llavin</t>
        </is>
      </c>
      <c r="E40" t="n">
        <v>2</v>
      </c>
      <c r="F40" t="n">
        <v>3275</v>
      </c>
      <c r="G40">
        <f>ROUND(E42*F42,2)</f>
        <v/>
      </c>
      <c r="H40" t="inlineStr"/>
      <c r="I40" t="inlineStr"/>
      <c r="J40" t="inlineStr"/>
      <c r="K40" t="inlineStr"/>
      <c r="L40" t="inlineStr"/>
    </row>
    <row r="41">
      <c r="A41" t="inlineStr">
        <is>
          <t>M0811170</t>
        </is>
      </c>
      <c r="B41" t="inlineStr">
        <is>
          <t>Partida</t>
        </is>
      </c>
      <c r="C41" t="inlineStr">
        <is>
          <t>unit</t>
        </is>
      </c>
      <c r="D41" t="inlineStr">
        <is>
          <t>Llavín Stanley para puertas</t>
        </is>
      </c>
      <c r="E41" t="n">
        <v>4</v>
      </c>
      <c r="F41" t="n">
        <v>1750</v>
      </c>
      <c r="G41">
        <f>ROUND(E43*F43,2)</f>
        <v/>
      </c>
      <c r="H41" t="inlineStr"/>
      <c r="I41" t="inlineStr"/>
      <c r="J41" t="inlineStr"/>
      <c r="K41" t="inlineStr"/>
      <c r="L41" t="inlineStr"/>
    </row>
    <row r="42">
      <c r="A42" t="inlineStr">
        <is>
          <t>M0811170</t>
        </is>
      </c>
      <c r="B42" t="inlineStr">
        <is>
          <t>Partida</t>
        </is>
      </c>
      <c r="C42" t="inlineStr">
        <is>
          <t>unit</t>
        </is>
      </c>
      <c r="D42" t="inlineStr">
        <is>
          <t>Llavín Stanley para puertas</t>
        </is>
      </c>
      <c r="E42" t="n">
        <v>2</v>
      </c>
      <c r="F42" t="n">
        <v>1750</v>
      </c>
      <c r="G42">
        <f>ROUND(E44*F44,2)</f>
        <v/>
      </c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Subtotal/Cierre de capítulo</t>
        </is>
      </c>
      <c r="C43" t="inlineStr"/>
      <c r="D43" t="inlineStr">
        <is>
          <t>Subtotal PUERTAS</t>
        </is>
      </c>
      <c r="E43" t="n">
        <v>1</v>
      </c>
      <c r="F43">
        <f>SUM(G41,G42,G43,G44)</f>
        <v/>
      </c>
      <c r="G43">
        <f>ROUND(E45*F45,2)</f>
        <v/>
      </c>
      <c r="H43" t="inlineStr"/>
      <c r="I43" t="inlineStr"/>
      <c r="J43" t="inlineStr"/>
      <c r="K43" t="inlineStr"/>
      <c r="L43" t="inlineStr"/>
    </row>
    <row r="44">
      <c r="A44" t="inlineStr">
        <is>
          <t>DUP-CH-06.02</t>
        </is>
      </c>
      <c r="B44" t="inlineStr">
        <is>
          <t>Capítulo</t>
        </is>
      </c>
      <c r="C44" t="inlineStr"/>
      <c r="D44" t="inlineStr">
        <is>
          <t>VENTANAS</t>
        </is>
      </c>
      <c r="E44">
        <f>E48</f>
        <v/>
      </c>
      <c r="F44">
        <f>F48</f>
        <v/>
      </c>
      <c r="G44">
        <f>G48</f>
        <v/>
      </c>
      <c r="H44" t="inlineStr"/>
      <c r="I44" t="inlineStr"/>
      <c r="J44" t="inlineStr"/>
      <c r="K44" t="inlineStr"/>
      <c r="L44" t="inlineStr"/>
    </row>
    <row r="45">
      <c r="A45" t="inlineStr">
        <is>
          <t>H140900</t>
        </is>
      </c>
      <c r="B45" t="inlineStr">
        <is>
          <t>Partida</t>
        </is>
      </c>
      <c r="C45" t="inlineStr">
        <is>
          <t>unit</t>
        </is>
      </c>
      <c r="D45" t="inlineStr">
        <is>
          <t>Mano de obra instalación mampara</t>
        </is>
      </c>
      <c r="E45" t="n">
        <v>8</v>
      </c>
      <c r="F45" t="n">
        <v>1500</v>
      </c>
      <c r="G45">
        <f>ROUND(E47*F47,2)</f>
        <v/>
      </c>
      <c r="H45" t="inlineStr"/>
      <c r="I45" t="inlineStr"/>
      <c r="J45" t="inlineStr"/>
      <c r="K45" t="inlineStr"/>
      <c r="L45" t="inlineStr"/>
    </row>
    <row r="46">
      <c r="A46" t="inlineStr"/>
      <c r="B46" t="inlineStr">
        <is>
          <t>Subtotal/Cierre de capítulo</t>
        </is>
      </c>
      <c r="C46" t="inlineStr"/>
      <c r="D46" t="inlineStr">
        <is>
          <t>Subtotal VENTANAS</t>
        </is>
      </c>
      <c r="E46" t="n">
        <v>1</v>
      </c>
      <c r="F46">
        <f>SUM(G47)</f>
        <v/>
      </c>
      <c r="G46">
        <f>ROUND(E48*F48,2)</f>
        <v/>
      </c>
      <c r="H46" t="inlineStr"/>
      <c r="I46" t="inlineStr"/>
      <c r="J46" t="inlineStr"/>
      <c r="K46" t="inlineStr"/>
      <c r="L46" t="inlineStr"/>
    </row>
    <row r="47">
      <c r="A47" t="inlineStr"/>
      <c r="B47" t="inlineStr">
        <is>
          <t>Subtotal/Cierre de capítulo</t>
        </is>
      </c>
      <c r="C47" t="inlineStr"/>
      <c r="D47" t="inlineStr">
        <is>
          <t>Subtotal CARPINTERIAS</t>
        </is>
      </c>
      <c r="E47" t="n">
        <v>1</v>
      </c>
      <c r="F47">
        <f>SUM(G45,G48)</f>
        <v/>
      </c>
      <c r="G47">
        <f>ROUND(E49*F49,2)</f>
        <v/>
      </c>
      <c r="H47" t="inlineStr"/>
      <c r="I47" t="inlineStr"/>
      <c r="J47" t="inlineStr"/>
      <c r="K47" t="inlineStr"/>
      <c r="L47" t="inlineStr"/>
    </row>
    <row r="48">
      <c r="A48" t="inlineStr">
        <is>
          <t>DUP-CH-08</t>
        </is>
      </c>
      <c r="B48" t="inlineStr">
        <is>
          <t>Capítulo</t>
        </is>
      </c>
      <c r="C48" t="inlineStr"/>
      <c r="D48" t="inlineStr">
        <is>
          <t>INSTALACIONES</t>
        </is>
      </c>
      <c r="E48">
        <f>E56</f>
        <v/>
      </c>
      <c r="F48">
        <f>F56</f>
        <v/>
      </c>
      <c r="G48">
        <f>G56</f>
        <v/>
      </c>
      <c r="H48" t="inlineStr"/>
      <c r="I48" t="inlineStr"/>
      <c r="J48" t="inlineStr"/>
      <c r="K48" t="inlineStr"/>
      <c r="L48" t="inlineStr"/>
    </row>
    <row r="49">
      <c r="A49" t="inlineStr">
        <is>
          <t>DUP-CH-08.01</t>
        </is>
      </c>
      <c r="B49" t="inlineStr">
        <is>
          <t>Capítulo</t>
        </is>
      </c>
      <c r="C49" t="inlineStr"/>
      <c r="D49" t="inlineStr">
        <is>
          <t>ELECTRICAS</t>
        </is>
      </c>
      <c r="E49">
        <f>E55</f>
        <v/>
      </c>
      <c r="F49">
        <f>F55</f>
        <v/>
      </c>
      <c r="G49">
        <f>G55</f>
        <v/>
      </c>
      <c r="H49" t="inlineStr"/>
      <c r="I49" t="inlineStr"/>
      <c r="J49" t="inlineStr"/>
      <c r="K49" t="inlineStr"/>
      <c r="L49" t="inlineStr"/>
    </row>
    <row r="50">
      <c r="A50" t="inlineStr">
        <is>
          <t>H4005078</t>
        </is>
      </c>
      <c r="B50" t="inlineStr">
        <is>
          <t>Partida</t>
        </is>
      </c>
      <c r="C50" t="inlineStr">
        <is>
          <t>unit</t>
        </is>
      </c>
      <c r="D50" t="inlineStr">
        <is>
          <t>M.O. colocación fregadero y griferia</t>
        </is>
      </c>
      <c r="E50" t="n">
        <v>2</v>
      </c>
      <c r="F50" t="n">
        <v>2800</v>
      </c>
      <c r="G50">
        <f>ROUND(E52*F52,2)</f>
        <v/>
      </c>
      <c r="H50" t="inlineStr"/>
      <c r="I50" t="inlineStr"/>
      <c r="J50" t="inlineStr"/>
      <c r="K50" t="inlineStr"/>
      <c r="L50" t="inlineStr"/>
    </row>
    <row r="51">
      <c r="A51" t="inlineStr">
        <is>
          <t>H4005078</t>
        </is>
      </c>
      <c r="B51" t="inlineStr">
        <is>
          <t>Partida</t>
        </is>
      </c>
      <c r="C51" t="inlineStr">
        <is>
          <t>unit</t>
        </is>
      </c>
      <c r="D51" t="inlineStr">
        <is>
          <t>M.O. colocación fregadero y griferia</t>
        </is>
      </c>
      <c r="E51" t="n">
        <v>2</v>
      </c>
      <c r="F51" t="n">
        <v>2800</v>
      </c>
      <c r="G51">
        <f>ROUND(E53*F53,2)</f>
        <v/>
      </c>
      <c r="H51" t="inlineStr"/>
      <c r="I51" t="inlineStr"/>
      <c r="J51" t="inlineStr"/>
      <c r="K51" t="inlineStr"/>
      <c r="L51" t="inlineStr"/>
    </row>
    <row r="52">
      <c r="A52" t="inlineStr">
        <is>
          <t>H4005078</t>
        </is>
      </c>
      <c r="B52" t="inlineStr">
        <is>
          <t>Partida</t>
        </is>
      </c>
      <c r="C52" t="inlineStr">
        <is>
          <t>unit</t>
        </is>
      </c>
      <c r="D52" t="inlineStr">
        <is>
          <t>M.O. colocación fregadero y griferia</t>
        </is>
      </c>
      <c r="E52" t="n">
        <v>2</v>
      </c>
      <c r="F52" t="n">
        <v>2800</v>
      </c>
      <c r="G52">
        <f>ROUND(E54*F54,2)</f>
        <v/>
      </c>
      <c r="H52" t="inlineStr"/>
      <c r="I52" t="inlineStr"/>
      <c r="J52" t="inlineStr"/>
      <c r="K52" t="inlineStr"/>
      <c r="L52" t="inlineStr"/>
    </row>
    <row r="53">
      <c r="A53" t="inlineStr"/>
      <c r="B53" t="inlineStr">
        <is>
          <t>Subtotal/Cierre de capítulo</t>
        </is>
      </c>
      <c r="C53" t="inlineStr"/>
      <c r="D53" t="inlineStr">
        <is>
          <t>Subtotal ELECTRICAS</t>
        </is>
      </c>
      <c r="E53" t="n">
        <v>1</v>
      </c>
      <c r="F53">
        <f>SUM(G52,G53,G54)</f>
        <v/>
      </c>
      <c r="G53">
        <f>ROUND(E55*F55,2)</f>
        <v/>
      </c>
      <c r="H53" t="inlineStr"/>
      <c r="I53" t="inlineStr"/>
      <c r="J53" t="inlineStr"/>
      <c r="K53" t="inlineStr"/>
      <c r="L53" t="inlineStr"/>
    </row>
    <row r="54">
      <c r="A54" t="inlineStr"/>
      <c r="B54" t="inlineStr">
        <is>
          <t>Subtotal/Cierre de capítulo</t>
        </is>
      </c>
      <c r="C54" t="inlineStr"/>
      <c r="D54" t="inlineStr">
        <is>
          <t>Subtotal INSTALACIONES</t>
        </is>
      </c>
      <c r="E54" t="n">
        <v>1</v>
      </c>
      <c r="F54">
        <f>SUM(G55)</f>
        <v/>
      </c>
      <c r="G54">
        <f>ROUND(E56*F56,2)</f>
        <v/>
      </c>
      <c r="H54" t="inlineStr"/>
      <c r="I54" t="inlineStr"/>
      <c r="J54" t="inlineStr"/>
      <c r="K54" t="inlineStr"/>
      <c r="L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2026-04-07T01:38:53Z</dcterms:created>
  <dcterms:modified xsi:type="dcterms:W3CDTF">2026-04-07T01:38:53Z</dcterms:modified>
</cp:coreProperties>
</file>