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Prueba web 01 — batch BLCAD14001–14015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E22</f>
        <v/>
      </c>
      <c r="F4" s="5">
        <f>F22</f>
        <v/>
      </c>
      <c r="G4" s="5">
        <f>G22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E14</f>
        <v/>
      </c>
      <c r="F5" s="5">
        <f>F14</f>
        <v/>
      </c>
      <c r="G5" s="5">
        <f>G14</f>
        <v/>
      </c>
    </row>
    <row r="6">
      <c r="A6" s="6" t="inlineStr">
        <is>
          <t>P030322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Columna C3  0.80 x 0.50 - 20 Ø1", 3 Est Ø3/8"@0.10</t>
        </is>
      </c>
      <c r="E6" s="7" t="n">
        <v>0.448</v>
      </c>
      <c r="F6" s="7" t="n">
        <v>56653.47</v>
      </c>
      <c r="G6" s="7">
        <f>ROUND(E6*F6,2)</f>
        <v/>
      </c>
    </row>
    <row r="7">
      <c r="A7" s="6" t="inlineStr">
        <is>
          <t>P030322</t>
        </is>
      </c>
      <c r="B7" s="6" t="inlineStr">
        <is>
          <t>Partida</t>
        </is>
      </c>
      <c r="C7" s="6" t="inlineStr">
        <is>
          <t>m3</t>
        </is>
      </c>
      <c r="D7" s="6" t="inlineStr">
        <is>
          <t>Columna C3  0.80 x 0.50 - 20 Ø1", 3 Est Ø3/8"@0.10</t>
        </is>
      </c>
      <c r="E7" s="7" t="n">
        <v>0.448</v>
      </c>
      <c r="F7" s="7" t="n">
        <v>56653.47</v>
      </c>
      <c r="G7" s="7">
        <f>ROUND(E7*F7,2)</f>
        <v/>
      </c>
    </row>
    <row r="8">
      <c r="A8" s="6" t="inlineStr">
        <is>
          <t>DUP-0001</t>
        </is>
      </c>
      <c r="B8" s="6" t="inlineStr">
        <is>
          <t>Partida</t>
        </is>
      </c>
      <c r="C8" s="6" t="inlineStr">
        <is>
          <t>m2</t>
        </is>
      </c>
      <c r="D8" s="6" t="inlineStr">
        <is>
          <t>Elemento estructural</t>
        </is>
      </c>
      <c r="E8" s="7" t="n">
        <v>25817.6100000001</v>
      </c>
      <c r="F8" s="7" t="n"/>
      <c r="G8" s="7">
        <f>ROUND(E8*F8,2)</f>
        <v/>
      </c>
    </row>
    <row r="9">
      <c r="A9" s="6" t="inlineStr">
        <is>
          <t>DUP-0002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Elemento estructural</t>
        </is>
      </c>
      <c r="E9" s="7" t="n">
        <v>172787.5599999998</v>
      </c>
      <c r="F9" s="7" t="n"/>
      <c r="G9" s="7">
        <f>ROUND(E9*F9,2)</f>
        <v/>
      </c>
    </row>
    <row r="10">
      <c r="A10" s="6" t="inlineStr">
        <is>
          <t>DUP-0003</t>
        </is>
      </c>
      <c r="B10" s="6" t="inlineStr">
        <is>
          <t>Partida</t>
        </is>
      </c>
      <c r="C10" s="6" t="inlineStr">
        <is>
          <t>m2</t>
        </is>
      </c>
      <c r="D10" s="6" t="inlineStr">
        <is>
          <t>Elemento estructural</t>
        </is>
      </c>
      <c r="E10" s="7" t="n">
        <v>1000000</v>
      </c>
      <c r="F10" s="7" t="n"/>
      <c r="G10" s="7">
        <f>ROUND(E10*F10,2)</f>
        <v/>
      </c>
    </row>
    <row r="11">
      <c r="A11" s="6" t="inlineStr">
        <is>
          <t>P0303105</t>
        </is>
      </c>
      <c r="B11" s="6" t="inlineStr">
        <is>
          <t>Partida</t>
        </is>
      </c>
      <c r="C11" s="6" t="inlineStr">
        <is>
          <t>m3</t>
        </is>
      </c>
      <c r="D11" s="6" t="inlineStr">
        <is>
          <t>Viga de Amarre (0.30m x 0.20m)</t>
        </is>
      </c>
      <c r="E11" s="7" t="n">
        <v>51570.9</v>
      </c>
      <c r="F11" s="7" t="n">
        <v>41607.18</v>
      </c>
      <c r="G11" s="7">
        <f>ROUND(E11*F11,2)</f>
        <v/>
      </c>
    </row>
    <row r="12">
      <c r="A12" s="6" t="inlineStr">
        <is>
          <t>P0303105</t>
        </is>
      </c>
      <c r="B12" s="6" t="inlineStr">
        <is>
          <t>Partida</t>
        </is>
      </c>
      <c r="C12" s="6" t="inlineStr">
        <is>
          <t>m3</t>
        </is>
      </c>
      <c r="D12" s="6" t="inlineStr">
        <is>
          <t>Viga de Amarre (0.30m x 0.20m)</t>
        </is>
      </c>
      <c r="E12" s="7" t="n">
        <v>2916</v>
      </c>
      <c r="F12" s="7" t="n">
        <v>41607.18</v>
      </c>
      <c r="G12" s="7">
        <f>ROUND(E12*F12,2)</f>
        <v/>
      </c>
    </row>
    <row r="13">
      <c r="A13" s="6" t="inlineStr">
        <is>
          <t>P0303105</t>
        </is>
      </c>
      <c r="B13" s="6" t="inlineStr">
        <is>
          <t>Partida</t>
        </is>
      </c>
      <c r="C13" s="6" t="inlineStr">
        <is>
          <t>m3</t>
        </is>
      </c>
      <c r="D13" s="6" t="inlineStr">
        <is>
          <t>Viga de Amarre (0.30m x 0.20m)</t>
        </is>
      </c>
      <c r="E13" s="7" t="n">
        <v>76762.5</v>
      </c>
      <c r="F13" s="7" t="n">
        <v>41607.18</v>
      </c>
      <c r="G13" s="7">
        <f>ROUND(E13*F13,2)</f>
        <v/>
      </c>
    </row>
    <row r="14">
      <c r="A14" s="8" t="inlineStr"/>
      <c r="B14" s="8" t="inlineStr">
        <is>
          <t>Subtotal/Cierre de capítulo</t>
        </is>
      </c>
      <c r="C14" s="8" t="inlineStr"/>
      <c r="D14" s="8" t="inlineStr">
        <is>
          <t>Subtotal HORMIGON ARMADO</t>
        </is>
      </c>
      <c r="E14" s="9" t="n">
        <v>1</v>
      </c>
      <c r="F14" s="9">
        <f>SUM(G6,G7,G8,G9,G10,G11,G12,G13)</f>
        <v/>
      </c>
      <c r="G14" s="9">
        <f>ROUND(E14*F14,2)</f>
        <v/>
      </c>
    </row>
    <row r="15">
      <c r="A15" s="4" t="inlineStr">
        <is>
          <t>DUP-CH-01.02</t>
        </is>
      </c>
      <c r="B15" s="4" t="inlineStr">
        <is>
          <t>Capítulo</t>
        </is>
      </c>
      <c r="C15" s="4" t="inlineStr"/>
      <c r="D15" s="4" t="inlineStr">
        <is>
          <t>ENCOFRADOS</t>
        </is>
      </c>
      <c r="E15" s="5">
        <f>E21</f>
        <v/>
      </c>
      <c r="F15" s="5">
        <f>F21</f>
        <v/>
      </c>
      <c r="G15" s="5">
        <f>G21</f>
        <v/>
      </c>
    </row>
    <row r="16">
      <c r="A16" s="6" t="inlineStr">
        <is>
          <t>H0502291</t>
        </is>
      </c>
      <c r="B16" s="6" t="inlineStr">
        <is>
          <t>Partida</t>
        </is>
      </c>
      <c r="C16" s="6" t="inlineStr">
        <is>
          <t>m2</t>
        </is>
      </c>
      <c r="D16" s="6" t="inlineStr">
        <is>
          <t>M.O. Encofrado columnna</t>
        </is>
      </c>
      <c r="E16" s="7" t="n">
        <v>4.48</v>
      </c>
      <c r="F16" s="7" t="n">
        <v>806</v>
      </c>
      <c r="G16" s="7">
        <f>ROUND(E16*F16,2)</f>
        <v/>
      </c>
    </row>
    <row r="17">
      <c r="A17" s="6" t="inlineStr">
        <is>
          <t>H0502291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M.O. Encofrado columnna</t>
        </is>
      </c>
      <c r="E17" s="7" t="n">
        <v>4.48</v>
      </c>
      <c r="F17" s="7" t="n">
        <v>806</v>
      </c>
      <c r="G17" s="7">
        <f>ROUND(E17*F17,2)</f>
        <v/>
      </c>
    </row>
    <row r="18">
      <c r="A18" s="6" t="inlineStr">
        <is>
          <t>H0502195</t>
        </is>
      </c>
      <c r="B18" s="6" t="inlineStr">
        <is>
          <t>Partida</t>
        </is>
      </c>
      <c r="C18" s="6" t="inlineStr">
        <is>
          <t>m2</t>
        </is>
      </c>
      <c r="D18" s="6" t="inlineStr">
        <is>
          <t>M.O. Encofrado Vigas</t>
        </is>
      </c>
      <c r="E18" s="7" t="n">
        <v>446947.8</v>
      </c>
      <c r="F18" s="7" t="n">
        <v>1400</v>
      </c>
      <c r="G18" s="7">
        <f>ROUND(E18*F18,2)</f>
        <v/>
      </c>
    </row>
    <row r="19">
      <c r="A19" s="6" t="inlineStr">
        <is>
          <t>H0502195</t>
        </is>
      </c>
      <c r="B19" s="6" t="inlineStr">
        <is>
          <t>Partida</t>
        </is>
      </c>
      <c r="C19" s="6" t="inlineStr">
        <is>
          <t>m2</t>
        </is>
      </c>
      <c r="D19" s="6" t="inlineStr">
        <is>
          <t>M.O. Encofrado Vigas</t>
        </is>
      </c>
      <c r="E19" s="7" t="n">
        <v>25272</v>
      </c>
      <c r="F19" s="7" t="n">
        <v>1400</v>
      </c>
      <c r="G19" s="7">
        <f>ROUND(E19*F19,2)</f>
        <v/>
      </c>
    </row>
    <row r="20">
      <c r="A20" s="6" t="inlineStr">
        <is>
          <t>H0502195</t>
        </is>
      </c>
      <c r="B20" s="6" t="inlineStr">
        <is>
          <t>Partida</t>
        </is>
      </c>
      <c r="C20" s="6" t="inlineStr">
        <is>
          <t>m2</t>
        </is>
      </c>
      <c r="D20" s="6" t="inlineStr">
        <is>
          <t>M.O. Encofrado Vigas</t>
        </is>
      </c>
      <c r="E20" s="7" t="n">
        <v>665275</v>
      </c>
      <c r="F20" s="7" t="n">
        <v>1400</v>
      </c>
      <c r="G20" s="7">
        <f>ROUND(E20*F20,2)</f>
        <v/>
      </c>
    </row>
    <row r="21">
      <c r="A21" s="8" t="inlineStr"/>
      <c r="B21" s="8" t="inlineStr">
        <is>
          <t>Subtotal/Cierre de capítulo</t>
        </is>
      </c>
      <c r="C21" s="8" t="inlineStr"/>
      <c r="D21" s="8" t="inlineStr">
        <is>
          <t>Subtotal ENCOFRADOS</t>
        </is>
      </c>
      <c r="E21" s="9" t="n">
        <v>1</v>
      </c>
      <c r="F21" s="9">
        <f>SUM(G16,G17,G18,G19,G20)</f>
        <v/>
      </c>
      <c r="G21" s="9">
        <f>ROUND(E21*F21,2)</f>
        <v/>
      </c>
    </row>
    <row r="22">
      <c r="A22" s="8" t="inlineStr"/>
      <c r="B22" s="8" t="inlineStr">
        <is>
          <t>Subtotal/Cierre de capítulo</t>
        </is>
      </c>
      <c r="C22" s="8" t="inlineStr"/>
      <c r="D22" s="8" t="inlineStr">
        <is>
          <t>Subtotal ESTRUCTURA</t>
        </is>
      </c>
      <c r="E22" s="9" t="n">
        <v>1</v>
      </c>
      <c r="F22" s="9">
        <f>SUM(G14,G21)</f>
        <v/>
      </c>
      <c r="G22" s="9">
        <f>ROUND(E22*F22,2)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2026-04-07T01:15:19Z</dcterms:created>
  <dcterms:modified xsi:type="dcterms:W3CDTF">2026-04-07T01:15:19Z</dcterms:modified>
</cp:coreProperties>
</file>