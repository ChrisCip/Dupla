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60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Prueba web 01 — CAD fusionado + PDF (GPT visión)</t>
        </is>
      </c>
    </row>
    <row r="2">
      <c r="A2" s="2" t="inlineStr">
        <is>
          <t>Presupuesto</t>
        </is>
      </c>
    </row>
    <row r="3">
      <c r="A3" s="3" t="inlineStr">
        <is>
          <t>Código</t>
        </is>
      </c>
      <c r="B3" s="3" t="inlineStr">
        <is>
          <t>Nat</t>
        </is>
      </c>
      <c r="C3" s="3" t="inlineStr">
        <is>
          <t>Ud</t>
        </is>
      </c>
      <c r="D3" s="3" t="inlineStr">
        <is>
          <t>Resumen</t>
        </is>
      </c>
      <c r="E3" s="3" t="inlineStr">
        <is>
          <t>CanPres</t>
        </is>
      </c>
      <c r="F3" s="3" t="inlineStr">
        <is>
          <t>PrPres</t>
        </is>
      </c>
      <c r="G3" s="3" t="inlineStr">
        <is>
          <t>ImpPres</t>
        </is>
      </c>
    </row>
    <row r="4">
      <c r="A4" s="4" t="inlineStr">
        <is>
          <t>DUP-CH-01</t>
        </is>
      </c>
      <c r="B4" s="4" t="inlineStr">
        <is>
          <t>Capítulo</t>
        </is>
      </c>
      <c r="C4" s="4" t="inlineStr"/>
      <c r="D4" s="4" t="inlineStr">
        <is>
          <t>ESTRUCTURA</t>
        </is>
      </c>
      <c r="E4" s="5">
        <f>E24</f>
        <v/>
      </c>
      <c r="F4" s="5">
        <f>F24</f>
        <v/>
      </c>
      <c r="G4" s="5">
        <f>G24</f>
        <v/>
      </c>
    </row>
    <row r="5">
      <c r="A5" s="4" t="inlineStr">
        <is>
          <t>DUP-CH-01.01</t>
        </is>
      </c>
      <c r="B5" s="4" t="inlineStr">
        <is>
          <t>Capítulo</t>
        </is>
      </c>
      <c r="C5" s="4" t="inlineStr"/>
      <c r="D5" s="4" t="inlineStr">
        <is>
          <t>HORMIGON ARMADO</t>
        </is>
      </c>
      <c r="E5" s="5">
        <f>E15</f>
        <v/>
      </c>
      <c r="F5" s="5">
        <f>F15</f>
        <v/>
      </c>
      <c r="G5" s="5">
        <f>G15</f>
        <v/>
      </c>
    </row>
    <row r="6">
      <c r="A6" s="6" t="inlineStr">
        <is>
          <t>P030322</t>
        </is>
      </c>
      <c r="B6" s="6" t="inlineStr">
        <is>
          <t>Partida</t>
        </is>
      </c>
      <c r="C6" s="6" t="inlineStr">
        <is>
          <t>m3</t>
        </is>
      </c>
      <c r="D6" s="6" t="inlineStr">
        <is>
          <t>Columna C3  0.80 x 0.50 - 20 Ø1", 3 Est Ø3/8"@0.10</t>
        </is>
      </c>
      <c r="E6" s="7" t="n">
        <v>0.448</v>
      </c>
      <c r="F6" s="7" t="n">
        <v>56653.47</v>
      </c>
      <c r="G6" s="7">
        <f>ROUND(E6*F6,2)</f>
        <v/>
      </c>
    </row>
    <row r="7">
      <c r="A7" s="6" t="inlineStr">
        <is>
          <t>P030322</t>
        </is>
      </c>
      <c r="B7" s="6" t="inlineStr">
        <is>
          <t>Partida</t>
        </is>
      </c>
      <c r="C7" s="6" t="inlineStr">
        <is>
          <t>m3</t>
        </is>
      </c>
      <c r="D7" s="6" t="inlineStr">
        <is>
          <t>Columna C3  0.80 x 0.50 - 20 Ø1", 3 Est Ø3/8"@0.10</t>
        </is>
      </c>
      <c r="E7" s="7" t="n">
        <v>0.448</v>
      </c>
      <c r="F7" s="7" t="n">
        <v>56653.47</v>
      </c>
      <c r="G7" s="7">
        <f>ROUND(E7*F7,2)</f>
        <v/>
      </c>
    </row>
    <row r="8">
      <c r="A8" s="6" t="inlineStr">
        <is>
          <t>P030322</t>
        </is>
      </c>
      <c r="B8" s="6" t="inlineStr">
        <is>
          <t>Partida</t>
        </is>
      </c>
      <c r="C8" s="6" t="inlineStr">
        <is>
          <t>m3</t>
        </is>
      </c>
      <c r="D8" s="6" t="inlineStr">
        <is>
          <t>Columna C3  0.80 x 0.50 - 20 Ø1", 3 Est Ø3/8"@0.10</t>
        </is>
      </c>
      <c r="E8" s="7" t="n">
        <v>0.448</v>
      </c>
      <c r="F8" s="7" t="n">
        <v>56653.47</v>
      </c>
      <c r="G8" s="7">
        <f>ROUND(E8*F8,2)</f>
        <v/>
      </c>
    </row>
    <row r="9">
      <c r="A9" s="6" t="inlineStr">
        <is>
          <t>DUP-0001</t>
        </is>
      </c>
      <c r="B9" s="6" t="inlineStr">
        <is>
          <t>Partida</t>
        </is>
      </c>
      <c r="C9" s="6" t="inlineStr">
        <is>
          <t>m2</t>
        </is>
      </c>
      <c r="D9" s="6" t="inlineStr">
        <is>
          <t>Elemento estructural</t>
        </is>
      </c>
      <c r="E9" s="7" t="n">
        <v>25817.6100000001</v>
      </c>
      <c r="F9" s="7" t="n"/>
      <c r="G9" s="7">
        <f>ROUND(E9*F9,2)</f>
        <v/>
      </c>
    </row>
    <row r="10">
      <c r="A10" s="6" t="inlineStr">
        <is>
          <t>DUP-0002</t>
        </is>
      </c>
      <c r="B10" s="6" t="inlineStr">
        <is>
          <t>Partida</t>
        </is>
      </c>
      <c r="C10" s="6" t="inlineStr">
        <is>
          <t>m2</t>
        </is>
      </c>
      <c r="D10" s="6" t="inlineStr">
        <is>
          <t>Elemento estructural</t>
        </is>
      </c>
      <c r="E10" s="7" t="n">
        <v>172787.5599999998</v>
      </c>
      <c r="F10" s="7" t="n"/>
      <c r="G10" s="7">
        <f>ROUND(E10*F10,2)</f>
        <v/>
      </c>
    </row>
    <row r="11">
      <c r="A11" s="6" t="inlineStr">
        <is>
          <t>DUP-0003</t>
        </is>
      </c>
      <c r="B11" s="6" t="inlineStr">
        <is>
          <t>Partida</t>
        </is>
      </c>
      <c r="C11" s="6" t="inlineStr">
        <is>
          <t>m2</t>
        </is>
      </c>
      <c r="D11" s="6" t="inlineStr">
        <is>
          <t>Elemento estructural</t>
        </is>
      </c>
      <c r="E11" s="7" t="n">
        <v>1000000</v>
      </c>
      <c r="F11" s="7" t="n"/>
      <c r="G11" s="7">
        <f>ROUND(E11*F11,2)</f>
        <v/>
      </c>
    </row>
    <row r="12">
      <c r="A12" s="6" t="inlineStr">
        <is>
          <t>P0303105</t>
        </is>
      </c>
      <c r="B12" s="6" t="inlineStr">
        <is>
          <t>Partida</t>
        </is>
      </c>
      <c r="C12" s="6" t="inlineStr">
        <is>
          <t>m3</t>
        </is>
      </c>
      <c r="D12" s="6" t="inlineStr">
        <is>
          <t>Viga de Amarre (0.30m x 0.20m)</t>
        </is>
      </c>
      <c r="E12" s="7" t="n">
        <v>51570.9</v>
      </c>
      <c r="F12" s="7" t="n">
        <v>41607.18</v>
      </c>
      <c r="G12" s="7">
        <f>ROUND(E12*F12,2)</f>
        <v/>
      </c>
    </row>
    <row r="13">
      <c r="A13" s="6" t="inlineStr">
        <is>
          <t>P0303105</t>
        </is>
      </c>
      <c r="B13" s="6" t="inlineStr">
        <is>
          <t>Partida</t>
        </is>
      </c>
      <c r="C13" s="6" t="inlineStr">
        <is>
          <t>m3</t>
        </is>
      </c>
      <c r="D13" s="6" t="inlineStr">
        <is>
          <t>Viga de Amarre (0.30m x 0.20m)</t>
        </is>
      </c>
      <c r="E13" s="7" t="n">
        <v>2916</v>
      </c>
      <c r="F13" s="7" t="n">
        <v>41607.18</v>
      </c>
      <c r="G13" s="7">
        <f>ROUND(E13*F13,2)</f>
        <v/>
      </c>
    </row>
    <row r="14">
      <c r="A14" s="6" t="inlineStr">
        <is>
          <t>P0303105</t>
        </is>
      </c>
      <c r="B14" s="6" t="inlineStr">
        <is>
          <t>Partida</t>
        </is>
      </c>
      <c r="C14" s="6" t="inlineStr">
        <is>
          <t>m3</t>
        </is>
      </c>
      <c r="D14" s="6" t="inlineStr">
        <is>
          <t>Viga de Amarre (0.30m x 0.20m)</t>
        </is>
      </c>
      <c r="E14" s="7" t="n">
        <v>76762.5</v>
      </c>
      <c r="F14" s="7" t="n">
        <v>41607.18</v>
      </c>
      <c r="G14" s="7">
        <f>ROUND(E14*F14,2)</f>
        <v/>
      </c>
    </row>
    <row r="15">
      <c r="A15" s="8" t="inlineStr"/>
      <c r="B15" s="8" t="inlineStr">
        <is>
          <t>Subtotal/Cierre de capítulo</t>
        </is>
      </c>
      <c r="C15" s="8" t="inlineStr"/>
      <c r="D15" s="8" t="inlineStr">
        <is>
          <t>Subtotal HORMIGON ARMADO</t>
        </is>
      </c>
      <c r="E15" s="9" t="n">
        <v>1</v>
      </c>
      <c r="F15" s="9">
        <f>SUM(G6,G7,G8,G9,G10,G11,G12,G13,G14)</f>
        <v/>
      </c>
      <c r="G15" s="9">
        <f>ROUND(E15*F15,2)</f>
        <v/>
      </c>
    </row>
    <row r="16">
      <c r="A16" s="4" t="inlineStr">
        <is>
          <t>DUP-CH-01.02</t>
        </is>
      </c>
      <c r="B16" s="4" t="inlineStr">
        <is>
          <t>Capítulo</t>
        </is>
      </c>
      <c r="C16" s="4" t="inlineStr"/>
      <c r="D16" s="4" t="inlineStr">
        <is>
          <t>ENCOFRADOS</t>
        </is>
      </c>
      <c r="E16" s="5">
        <f>E23</f>
        <v/>
      </c>
      <c r="F16" s="5">
        <f>F23</f>
        <v/>
      </c>
      <c r="G16" s="5">
        <f>G23</f>
        <v/>
      </c>
    </row>
    <row r="17">
      <c r="A17" s="6" t="inlineStr">
        <is>
          <t>H0502291</t>
        </is>
      </c>
      <c r="B17" s="6" t="inlineStr">
        <is>
          <t>Partida</t>
        </is>
      </c>
      <c r="C17" s="6" t="inlineStr">
        <is>
          <t>m2</t>
        </is>
      </c>
      <c r="D17" s="6" t="inlineStr">
        <is>
          <t>M.O. Encofrado columnna</t>
        </is>
      </c>
      <c r="E17" s="7" t="n">
        <v>4.48</v>
      </c>
      <c r="F17" s="7" t="n">
        <v>806</v>
      </c>
      <c r="G17" s="7">
        <f>ROUND(E17*F17,2)</f>
        <v/>
      </c>
    </row>
    <row r="18">
      <c r="A18" s="6" t="inlineStr">
        <is>
          <t>H0502291</t>
        </is>
      </c>
      <c r="B18" s="6" t="inlineStr">
        <is>
          <t>Partida</t>
        </is>
      </c>
      <c r="C18" s="6" t="inlineStr">
        <is>
          <t>m2</t>
        </is>
      </c>
      <c r="D18" s="6" t="inlineStr">
        <is>
          <t>M.O. Encofrado columnna</t>
        </is>
      </c>
      <c r="E18" s="7" t="n">
        <v>4.48</v>
      </c>
      <c r="F18" s="7" t="n">
        <v>806</v>
      </c>
      <c r="G18" s="7">
        <f>ROUND(E18*F18,2)</f>
        <v/>
      </c>
    </row>
    <row r="19">
      <c r="A19" s="6" t="inlineStr">
        <is>
          <t>H0502291</t>
        </is>
      </c>
      <c r="B19" s="6" t="inlineStr">
        <is>
          <t>Partida</t>
        </is>
      </c>
      <c r="C19" s="6" t="inlineStr">
        <is>
          <t>m2</t>
        </is>
      </c>
      <c r="D19" s="6" t="inlineStr">
        <is>
          <t>M.O. Encofrado columnna</t>
        </is>
      </c>
      <c r="E19" s="7" t="n">
        <v>4.48</v>
      </c>
      <c r="F19" s="7" t="n">
        <v>806</v>
      </c>
      <c r="G19" s="7">
        <f>ROUND(E19*F19,2)</f>
        <v/>
      </c>
    </row>
    <row r="20">
      <c r="A20" s="6" t="inlineStr">
        <is>
          <t>H0502195</t>
        </is>
      </c>
      <c r="B20" s="6" t="inlineStr">
        <is>
          <t>Partida</t>
        </is>
      </c>
      <c r="C20" s="6" t="inlineStr">
        <is>
          <t>m2</t>
        </is>
      </c>
      <c r="D20" s="6" t="inlineStr">
        <is>
          <t>M.O. Encofrado Vigas</t>
        </is>
      </c>
      <c r="E20" s="7" t="n">
        <v>446947.8</v>
      </c>
      <c r="F20" s="7" t="n">
        <v>1400</v>
      </c>
      <c r="G20" s="7">
        <f>ROUND(E20*F20,2)</f>
        <v/>
      </c>
    </row>
    <row r="21">
      <c r="A21" s="6" t="inlineStr">
        <is>
          <t>H0502195</t>
        </is>
      </c>
      <c r="B21" s="6" t="inlineStr">
        <is>
          <t>Partida</t>
        </is>
      </c>
      <c r="C21" s="6" t="inlineStr">
        <is>
          <t>m2</t>
        </is>
      </c>
      <c r="D21" s="6" t="inlineStr">
        <is>
          <t>M.O. Encofrado Vigas</t>
        </is>
      </c>
      <c r="E21" s="7" t="n">
        <v>25272</v>
      </c>
      <c r="F21" s="7" t="n">
        <v>1400</v>
      </c>
      <c r="G21" s="7">
        <f>ROUND(E21*F21,2)</f>
        <v/>
      </c>
    </row>
    <row r="22">
      <c r="A22" s="6" t="inlineStr">
        <is>
          <t>H0502195</t>
        </is>
      </c>
      <c r="B22" s="6" t="inlineStr">
        <is>
          <t>Partida</t>
        </is>
      </c>
      <c r="C22" s="6" t="inlineStr">
        <is>
          <t>m2</t>
        </is>
      </c>
      <c r="D22" s="6" t="inlineStr">
        <is>
          <t>M.O. Encofrado Vigas</t>
        </is>
      </c>
      <c r="E22" s="7" t="n">
        <v>665275</v>
      </c>
      <c r="F22" s="7" t="n">
        <v>1400</v>
      </c>
      <c r="G22" s="7">
        <f>ROUND(E22*F22,2)</f>
        <v/>
      </c>
    </row>
    <row r="23">
      <c r="A23" s="8" t="inlineStr"/>
      <c r="B23" s="8" t="inlineStr">
        <is>
          <t>Subtotal/Cierre de capítulo</t>
        </is>
      </c>
      <c r="C23" s="8" t="inlineStr"/>
      <c r="D23" s="8" t="inlineStr">
        <is>
          <t>Subtotal ENCOFRADOS</t>
        </is>
      </c>
      <c r="E23" s="9" t="n">
        <v>1</v>
      </c>
      <c r="F23" s="9">
        <f>SUM(G17,G18,G19,G20,G21,G22)</f>
        <v/>
      </c>
      <c r="G23" s="9">
        <f>ROUND(E23*F23,2)</f>
        <v/>
      </c>
    </row>
    <row r="24">
      <c r="A24" s="8" t="inlineStr"/>
      <c r="B24" s="8" t="inlineStr">
        <is>
          <t>Subtotal/Cierre de capítulo</t>
        </is>
      </c>
      <c r="C24" s="8" t="inlineStr"/>
      <c r="D24" s="8" t="inlineStr">
        <is>
          <t>Subtotal ESTRUCTURA</t>
        </is>
      </c>
      <c r="E24" s="9" t="n">
        <v>1</v>
      </c>
      <c r="F24" s="9">
        <f>SUM(G15,G23)</f>
        <v/>
      </c>
      <c r="G24" s="9">
        <f>ROUND(E24*F24,2)</f>
        <v/>
      </c>
    </row>
    <row r="25">
      <c r="A25" s="4" t="inlineStr">
        <is>
          <t>DUP-CH-04</t>
        </is>
      </c>
      <c r="B25" s="4" t="inlineStr">
        <is>
          <t>Capítulo</t>
        </is>
      </c>
      <c r="C25" s="4" t="inlineStr"/>
      <c r="D25" s="4" t="inlineStr">
        <is>
          <t>IMPERMEABILIZACION</t>
        </is>
      </c>
      <c r="E25" s="5">
        <f>E30</f>
        <v/>
      </c>
      <c r="F25" s="5">
        <f>F30</f>
        <v/>
      </c>
      <c r="G25" s="5">
        <f>G30</f>
        <v/>
      </c>
    </row>
    <row r="26">
      <c r="A26" s="4" t="inlineStr">
        <is>
          <t>DUP-CH-04.01</t>
        </is>
      </c>
      <c r="B26" s="4" t="inlineStr">
        <is>
          <t>Capítulo</t>
        </is>
      </c>
      <c r="C26" s="4" t="inlineStr"/>
      <c r="D26" s="4" t="inlineStr">
        <is>
          <t>TERMINACIONES HUMEDAS</t>
        </is>
      </c>
      <c r="E26" s="5">
        <f>E29</f>
        <v/>
      </c>
      <c r="F26" s="5">
        <f>F29</f>
        <v/>
      </c>
      <c r="G26" s="5">
        <f>G29</f>
        <v/>
      </c>
    </row>
    <row r="27">
      <c r="A27" s="6" t="inlineStr">
        <is>
          <t>H0402200</t>
        </is>
      </c>
      <c r="B27" s="6" t="inlineStr">
        <is>
          <t>Partida</t>
        </is>
      </c>
      <c r="C27" s="6" t="inlineStr">
        <is>
          <t>m2</t>
        </is>
      </c>
      <c r="D27" s="6" t="inlineStr">
        <is>
          <t>M.O. Aplicacion Impermeabilizante</t>
        </is>
      </c>
      <c r="E27" s="7" t="n">
        <v>4</v>
      </c>
      <c r="F27" s="7" t="n">
        <v>250</v>
      </c>
      <c r="G27" s="7">
        <f>ROUND(E27*F27,2)</f>
        <v/>
      </c>
    </row>
    <row r="28">
      <c r="A28" s="6" t="inlineStr">
        <is>
          <t>H0402200</t>
        </is>
      </c>
      <c r="B28" s="6" t="inlineStr">
        <is>
          <t>Partida</t>
        </is>
      </c>
      <c r="C28" s="6" t="inlineStr">
        <is>
          <t>m2</t>
        </is>
      </c>
      <c r="D28" s="6" t="inlineStr">
        <is>
          <t>M.O. Aplicacion Impermeabilizante</t>
        </is>
      </c>
      <c r="E28" s="7" t="n">
        <v>10</v>
      </c>
      <c r="F28" s="7" t="n">
        <v>250</v>
      </c>
      <c r="G28" s="7">
        <f>ROUND(E28*F28,2)</f>
        <v/>
      </c>
    </row>
    <row r="29">
      <c r="A29" s="8" t="inlineStr"/>
      <c r="B29" s="8" t="inlineStr">
        <is>
          <t>Subtotal/Cierre de capítulo</t>
        </is>
      </c>
      <c r="C29" s="8" t="inlineStr"/>
      <c r="D29" s="8" t="inlineStr">
        <is>
          <t>Subtotal TERMINACIONES HUMEDAS</t>
        </is>
      </c>
      <c r="E29" s="9" t="n">
        <v>1</v>
      </c>
      <c r="F29" s="9">
        <f>SUM(G27,G28)</f>
        <v/>
      </c>
      <c r="G29" s="9">
        <f>ROUND(E29*F29,2)</f>
        <v/>
      </c>
    </row>
    <row r="30">
      <c r="A30" s="8" t="inlineStr"/>
      <c r="B30" s="8" t="inlineStr">
        <is>
          <t>Subtotal/Cierre de capítulo</t>
        </is>
      </c>
      <c r="C30" s="8" t="inlineStr"/>
      <c r="D30" s="8" t="inlineStr">
        <is>
          <t>Subtotal IMPERMEABILIZACION</t>
        </is>
      </c>
      <c r="E30" s="9" t="n">
        <v>1</v>
      </c>
      <c r="F30" s="9">
        <f>SUM(G29)</f>
        <v/>
      </c>
      <c r="G30" s="9">
        <f>ROUND(E30*F30,2)</f>
        <v/>
      </c>
    </row>
    <row r="31">
      <c r="A31" s="4" t="inlineStr">
        <is>
          <t>DUP-CH-05</t>
        </is>
      </c>
      <c r="B31" s="4" t="inlineStr">
        <is>
          <t>Capítulo</t>
        </is>
      </c>
      <c r="C31" s="4" t="inlineStr"/>
      <c r="D31" s="4" t="inlineStr">
        <is>
          <t>TERMINACIONES</t>
        </is>
      </c>
      <c r="E31" s="5">
        <f>E38</f>
        <v/>
      </c>
      <c r="F31" s="5">
        <f>F38</f>
        <v/>
      </c>
      <c r="G31" s="5">
        <f>G38</f>
        <v/>
      </c>
    </row>
    <row r="32">
      <c r="A32" s="4" t="inlineStr">
        <is>
          <t>DUP-CH-05.04</t>
        </is>
      </c>
      <c r="B32" s="4" t="inlineStr">
        <is>
          <t>Capítulo</t>
        </is>
      </c>
      <c r="C32" s="4" t="inlineStr"/>
      <c r="D32" s="4" t="inlineStr">
        <is>
          <t>TERMINACIONES HUMEDAS</t>
        </is>
      </c>
      <c r="E32" s="5">
        <f>E34</f>
        <v/>
      </c>
      <c r="F32" s="5">
        <f>F34</f>
        <v/>
      </c>
      <c r="G32" s="5">
        <f>G34</f>
        <v/>
      </c>
    </row>
    <row r="33">
      <c r="A33" s="6" t="inlineStr">
        <is>
          <t>M1602008</t>
        </is>
      </c>
      <c r="B33" s="6" t="inlineStr">
        <is>
          <t>Partida</t>
        </is>
      </c>
      <c r="C33" s="6" t="inlineStr">
        <is>
          <t>m2</t>
        </is>
      </c>
      <c r="D33" s="6" t="inlineStr">
        <is>
          <t>Cerámica 0.30x0.60m +10% desp</t>
        </is>
      </c>
      <c r="E33" s="7" t="n">
        <v>10</v>
      </c>
      <c r="F33" s="7" t="n">
        <v>1500</v>
      </c>
      <c r="G33" s="7">
        <f>ROUND(E33*F33,2)</f>
        <v/>
      </c>
    </row>
    <row r="34">
      <c r="A34" s="8" t="inlineStr"/>
      <c r="B34" s="8" t="inlineStr">
        <is>
          <t>Subtotal/Cierre de capítulo</t>
        </is>
      </c>
      <c r="C34" s="8" t="inlineStr"/>
      <c r="D34" s="8" t="inlineStr">
        <is>
          <t>Subtotal TERMINACIONES HUMEDAS</t>
        </is>
      </c>
      <c r="E34" s="9" t="n">
        <v>1</v>
      </c>
      <c r="F34" s="9">
        <f>SUM(G33)</f>
        <v/>
      </c>
      <c r="G34" s="9">
        <f>ROUND(E34*F34,2)</f>
        <v/>
      </c>
    </row>
    <row r="35">
      <c r="A35" s="4" t="inlineStr">
        <is>
          <t>DUP-CH-05.06</t>
        </is>
      </c>
      <c r="B35" s="4" t="inlineStr">
        <is>
          <t>Capítulo</t>
        </is>
      </c>
      <c r="C35" s="4" t="inlineStr"/>
      <c r="D35" s="4" t="inlineStr">
        <is>
          <t>ESCALERAS</t>
        </is>
      </c>
      <c r="E35" s="5">
        <f>E37</f>
        <v/>
      </c>
      <c r="F35" s="5">
        <f>F37</f>
        <v/>
      </c>
      <c r="G35" s="5">
        <f>G37</f>
        <v/>
      </c>
    </row>
    <row r="36">
      <c r="A36" s="6" t="inlineStr">
        <is>
          <t>DUP-0004</t>
        </is>
      </c>
      <c r="B36" s="6" t="inlineStr">
        <is>
          <t>Partida</t>
        </is>
      </c>
      <c r="C36" s="6" t="inlineStr">
        <is>
          <t>unit</t>
        </is>
      </c>
      <c r="D36" s="6" t="inlineStr">
        <is>
          <t>Stair count</t>
        </is>
      </c>
      <c r="E36" s="7" t="n">
        <v>2</v>
      </c>
      <c r="F36" s="7" t="n"/>
      <c r="G36" s="7">
        <f>ROUND(E36*F36,2)</f>
        <v/>
      </c>
    </row>
    <row r="37">
      <c r="A37" s="8" t="inlineStr"/>
      <c r="B37" s="8" t="inlineStr">
        <is>
          <t>Subtotal/Cierre de capítulo</t>
        </is>
      </c>
      <c r="C37" s="8" t="inlineStr"/>
      <c r="D37" s="8" t="inlineStr">
        <is>
          <t>Subtotal ESCALERAS</t>
        </is>
      </c>
      <c r="E37" s="9" t="n">
        <v>1</v>
      </c>
      <c r="F37" s="9">
        <f>SUM(G36)</f>
        <v/>
      </c>
      <c r="G37" s="9">
        <f>ROUND(E37*F37,2)</f>
        <v/>
      </c>
    </row>
    <row r="38">
      <c r="A38" s="8" t="inlineStr"/>
      <c r="B38" s="8" t="inlineStr">
        <is>
          <t>Subtotal/Cierre de capítulo</t>
        </is>
      </c>
      <c r="C38" s="8" t="inlineStr"/>
      <c r="D38" s="8" t="inlineStr">
        <is>
          <t>Subtotal TERMINACIONES</t>
        </is>
      </c>
      <c r="E38" s="9" t="n">
        <v>1</v>
      </c>
      <c r="F38" s="9">
        <f>SUM(G34,G37)</f>
        <v/>
      </c>
      <c r="G38" s="9">
        <f>ROUND(E38*F38,2)</f>
        <v/>
      </c>
    </row>
    <row r="39">
      <c r="A39" s="4" t="inlineStr">
        <is>
          <t>DUP-CH-06</t>
        </is>
      </c>
      <c r="B39" s="4" t="inlineStr">
        <is>
          <t>Capítulo</t>
        </is>
      </c>
      <c r="C39" s="4" t="inlineStr"/>
      <c r="D39" s="4" t="inlineStr">
        <is>
          <t>CARPINTERIAS</t>
        </is>
      </c>
      <c r="E39" s="5">
        <f>E49</f>
        <v/>
      </c>
      <c r="F39" s="5">
        <f>F49</f>
        <v/>
      </c>
      <c r="G39" s="5">
        <f>G49</f>
        <v/>
      </c>
    </row>
    <row r="40">
      <c r="A40" s="4" t="inlineStr">
        <is>
          <t>DUP-CH-06.01</t>
        </is>
      </c>
      <c r="B40" s="4" t="inlineStr">
        <is>
          <t>Capítulo</t>
        </is>
      </c>
      <c r="C40" s="4" t="inlineStr"/>
      <c r="D40" s="4" t="inlineStr">
        <is>
          <t>PUERTAS</t>
        </is>
      </c>
      <c r="E40" s="5">
        <f>E45</f>
        <v/>
      </c>
      <c r="F40" s="5">
        <f>F45</f>
        <v/>
      </c>
      <c r="G40" s="5">
        <f>G45</f>
        <v/>
      </c>
    </row>
    <row r="41">
      <c r="A41" s="6" t="inlineStr">
        <is>
          <t>H08P1010</t>
        </is>
      </c>
      <c r="B41" s="6" t="inlineStr">
        <is>
          <t>Partida</t>
        </is>
      </c>
      <c r="C41" s="6" t="inlineStr">
        <is>
          <t>unit</t>
        </is>
      </c>
      <c r="D41" s="6" t="inlineStr">
        <is>
          <t>Inst. Puerta metalica blanca Inc. Llavin</t>
        </is>
      </c>
      <c r="E41" s="7" t="n">
        <v>4</v>
      </c>
      <c r="F41" s="7" t="n">
        <v>3275</v>
      </c>
      <c r="G41" s="7">
        <f>ROUND(E41*F41,2)</f>
        <v/>
      </c>
    </row>
    <row r="42">
      <c r="A42" s="6" t="inlineStr">
        <is>
          <t>H08P1010</t>
        </is>
      </c>
      <c r="B42" s="6" t="inlineStr">
        <is>
          <t>Partida</t>
        </is>
      </c>
      <c r="C42" s="6" t="inlineStr">
        <is>
          <t>unit</t>
        </is>
      </c>
      <c r="D42" s="6" t="inlineStr">
        <is>
          <t>Inst. Puerta metalica blanca Inc. Llavin</t>
        </is>
      </c>
      <c r="E42" s="7" t="n">
        <v>2</v>
      </c>
      <c r="F42" s="7" t="n">
        <v>3275</v>
      </c>
      <c r="G42" s="7">
        <f>ROUND(E42*F42,2)</f>
        <v/>
      </c>
    </row>
    <row r="43">
      <c r="A43" s="6" t="inlineStr">
        <is>
          <t>M0811170</t>
        </is>
      </c>
      <c r="B43" s="6" t="inlineStr">
        <is>
          <t>Partida</t>
        </is>
      </c>
      <c r="C43" s="6" t="inlineStr">
        <is>
          <t>unit</t>
        </is>
      </c>
      <c r="D43" s="6" t="inlineStr">
        <is>
          <t>Llavín Stanley para puertas</t>
        </is>
      </c>
      <c r="E43" s="7" t="n">
        <v>4</v>
      </c>
      <c r="F43" s="7" t="n">
        <v>1750</v>
      </c>
      <c r="G43" s="7">
        <f>ROUND(E43*F43,2)</f>
        <v/>
      </c>
    </row>
    <row r="44">
      <c r="A44" s="6" t="inlineStr">
        <is>
          <t>M0811170</t>
        </is>
      </c>
      <c r="B44" s="6" t="inlineStr">
        <is>
          <t>Partida</t>
        </is>
      </c>
      <c r="C44" s="6" t="inlineStr">
        <is>
          <t>unit</t>
        </is>
      </c>
      <c r="D44" s="6" t="inlineStr">
        <is>
          <t>Llavín Stanley para puertas</t>
        </is>
      </c>
      <c r="E44" s="7" t="n">
        <v>2</v>
      </c>
      <c r="F44" s="7" t="n">
        <v>1750</v>
      </c>
      <c r="G44" s="7">
        <f>ROUND(E44*F44,2)</f>
        <v/>
      </c>
    </row>
    <row r="45">
      <c r="A45" s="8" t="inlineStr"/>
      <c r="B45" s="8" t="inlineStr">
        <is>
          <t>Subtotal/Cierre de capítulo</t>
        </is>
      </c>
      <c r="C45" s="8" t="inlineStr"/>
      <c r="D45" s="8" t="inlineStr">
        <is>
          <t>Subtotal PUERTAS</t>
        </is>
      </c>
      <c r="E45" s="9" t="n">
        <v>1</v>
      </c>
      <c r="F45" s="9">
        <f>SUM(G41,G42,G43,G44)</f>
        <v/>
      </c>
      <c r="G45" s="9">
        <f>ROUND(E45*F45,2)</f>
        <v/>
      </c>
    </row>
    <row r="46">
      <c r="A46" s="4" t="inlineStr">
        <is>
          <t>DUP-CH-06.02</t>
        </is>
      </c>
      <c r="B46" s="4" t="inlineStr">
        <is>
          <t>Capítulo</t>
        </is>
      </c>
      <c r="C46" s="4" t="inlineStr"/>
      <c r="D46" s="4" t="inlineStr">
        <is>
          <t>VENTANAS</t>
        </is>
      </c>
      <c r="E46" s="5">
        <f>E48</f>
        <v/>
      </c>
      <c r="F46" s="5">
        <f>F48</f>
        <v/>
      </c>
      <c r="G46" s="5">
        <f>G48</f>
        <v/>
      </c>
    </row>
    <row r="47">
      <c r="A47" s="6" t="inlineStr">
        <is>
          <t>H140900</t>
        </is>
      </c>
      <c r="B47" s="6" t="inlineStr">
        <is>
          <t>Partida</t>
        </is>
      </c>
      <c r="C47" s="6" t="inlineStr">
        <is>
          <t>unit</t>
        </is>
      </c>
      <c r="D47" s="6" t="inlineStr">
        <is>
          <t>Mano de obra instalación mampara</t>
        </is>
      </c>
      <c r="E47" s="7" t="n">
        <v>10</v>
      </c>
      <c r="F47" s="7" t="n">
        <v>1500</v>
      </c>
      <c r="G47" s="7">
        <f>ROUND(E47*F47,2)</f>
        <v/>
      </c>
    </row>
    <row r="48">
      <c r="A48" s="8" t="inlineStr"/>
      <c r="B48" s="8" t="inlineStr">
        <is>
          <t>Subtotal/Cierre de capítulo</t>
        </is>
      </c>
      <c r="C48" s="8" t="inlineStr"/>
      <c r="D48" s="8" t="inlineStr">
        <is>
          <t>Subtotal VENTANAS</t>
        </is>
      </c>
      <c r="E48" s="9" t="n">
        <v>1</v>
      </c>
      <c r="F48" s="9">
        <f>SUM(G47)</f>
        <v/>
      </c>
      <c r="G48" s="9">
        <f>ROUND(E48*F48,2)</f>
        <v/>
      </c>
    </row>
    <row r="49">
      <c r="A49" s="8" t="inlineStr"/>
      <c r="B49" s="8" t="inlineStr">
        <is>
          <t>Subtotal/Cierre de capítulo</t>
        </is>
      </c>
      <c r="C49" s="8" t="inlineStr"/>
      <c r="D49" s="8" t="inlineStr">
        <is>
          <t>Subtotal CARPINTERIAS</t>
        </is>
      </c>
      <c r="E49" s="9" t="n">
        <v>1</v>
      </c>
      <c r="F49" s="9">
        <f>SUM(G45,G48)</f>
        <v/>
      </c>
      <c r="G49" s="9">
        <f>ROUND(E49*F49,2)</f>
        <v/>
      </c>
    </row>
    <row r="50">
      <c r="A50" s="4" t="inlineStr">
        <is>
          <t>DUP-CH-08</t>
        </is>
      </c>
      <c r="B50" s="4" t="inlineStr">
        <is>
          <t>Capítulo</t>
        </is>
      </c>
      <c r="C50" s="4" t="inlineStr"/>
      <c r="D50" s="4" t="inlineStr">
        <is>
          <t>INSTALACIONES</t>
        </is>
      </c>
      <c r="E50" s="5">
        <f>E56</f>
        <v/>
      </c>
      <c r="F50" s="5">
        <f>F56</f>
        <v/>
      </c>
      <c r="G50" s="5">
        <f>G56</f>
        <v/>
      </c>
    </row>
    <row r="51">
      <c r="A51" s="4" t="inlineStr">
        <is>
          <t>DUP-CH-08.01</t>
        </is>
      </c>
      <c r="B51" s="4" t="inlineStr">
        <is>
          <t>Capítulo</t>
        </is>
      </c>
      <c r="C51" s="4" t="inlineStr"/>
      <c r="D51" s="4" t="inlineStr">
        <is>
          <t>ELECTRICAS</t>
        </is>
      </c>
      <c r="E51" s="5">
        <f>E55</f>
        <v/>
      </c>
      <c r="F51" s="5">
        <f>F55</f>
        <v/>
      </c>
      <c r="G51" s="5">
        <f>G55</f>
        <v/>
      </c>
    </row>
    <row r="52">
      <c r="A52" s="6" t="inlineStr">
        <is>
          <t>DUP-0005</t>
        </is>
      </c>
      <c r="B52" s="6" t="inlineStr">
        <is>
          <t>Partida</t>
        </is>
      </c>
      <c r="C52" s="6" t="inlineStr">
        <is>
          <t>unit</t>
        </is>
      </c>
      <c r="D52" s="6" t="inlineStr">
        <is>
          <t>Fixture count</t>
        </is>
      </c>
      <c r="E52" s="7" t="n">
        <v>2</v>
      </c>
      <c r="F52" s="7" t="n"/>
      <c r="G52" s="7">
        <f>ROUND(E52*F52,2)</f>
        <v/>
      </c>
    </row>
    <row r="53">
      <c r="A53" s="6" t="inlineStr">
        <is>
          <t>DUP-0006</t>
        </is>
      </c>
      <c r="B53" s="6" t="inlineStr">
        <is>
          <t>Partida</t>
        </is>
      </c>
      <c r="C53" s="6" t="inlineStr">
        <is>
          <t>unit</t>
        </is>
      </c>
      <c r="D53" s="6" t="inlineStr">
        <is>
          <t>Fixture count</t>
        </is>
      </c>
      <c r="E53" s="7" t="n">
        <v>2</v>
      </c>
      <c r="F53" s="7" t="n"/>
      <c r="G53" s="7">
        <f>ROUND(E53*F53,2)</f>
        <v/>
      </c>
    </row>
    <row r="54">
      <c r="A54" s="6" t="inlineStr">
        <is>
          <t>DUP-0007</t>
        </is>
      </c>
      <c r="B54" s="6" t="inlineStr">
        <is>
          <t>Partida</t>
        </is>
      </c>
      <c r="C54" s="6" t="inlineStr">
        <is>
          <t>unit</t>
        </is>
      </c>
      <c r="D54" s="6" t="inlineStr">
        <is>
          <t>Fixture count</t>
        </is>
      </c>
      <c r="E54" s="7" t="n">
        <v>4</v>
      </c>
      <c r="F54" s="7" t="n"/>
      <c r="G54" s="7">
        <f>ROUND(E54*F54,2)</f>
        <v/>
      </c>
    </row>
    <row r="55">
      <c r="A55" s="8" t="inlineStr"/>
      <c r="B55" s="8" t="inlineStr">
        <is>
          <t>Subtotal/Cierre de capítulo</t>
        </is>
      </c>
      <c r="C55" s="8" t="inlineStr"/>
      <c r="D55" s="8" t="inlineStr">
        <is>
          <t>Subtotal ELECTRICAS</t>
        </is>
      </c>
      <c r="E55" s="9" t="n">
        <v>1</v>
      </c>
      <c r="F55" s="9">
        <f>SUM(G52,G53,G54)</f>
        <v/>
      </c>
      <c r="G55" s="9">
        <f>ROUND(E55*F55,2)</f>
        <v/>
      </c>
    </row>
    <row r="56">
      <c r="A56" s="8" t="inlineStr"/>
      <c r="B56" s="8" t="inlineStr">
        <is>
          <t>Subtotal/Cierre de capítulo</t>
        </is>
      </c>
      <c r="C56" s="8" t="inlineStr"/>
      <c r="D56" s="8" t="inlineStr">
        <is>
          <t>Subtotal INSTALACIONES</t>
        </is>
      </c>
      <c r="E56" s="9" t="n">
        <v>1</v>
      </c>
      <c r="F56" s="9">
        <f>SUM(G55)</f>
        <v/>
      </c>
      <c r="G56" s="9">
        <f>ROUND(E56*F56,2)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2026-04-07T01:42:33Z</dcterms:created>
  <dcterms:modified xsi:type="dcterms:W3CDTF">2026-04-07T01:42:33Z</dcterms:modified>
</cp:coreProperties>
</file>