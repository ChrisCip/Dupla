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blcad_09 — batch BLCAD09001–09016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E24</f>
        <v/>
      </c>
      <c r="F4" s="5">
        <f>F24</f>
        <v/>
      </c>
      <c r="G4" s="5">
        <f>G24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E15</f>
        <v/>
      </c>
      <c r="F5" s="5">
        <f>F15</f>
        <v/>
      </c>
      <c r="G5" s="5">
        <f>G15</f>
        <v/>
      </c>
    </row>
    <row r="6">
      <c r="A6" s="6" t="inlineStr">
        <is>
          <t>P030323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Columna C4  1.00 x 0.50 - 22 Ø1", 4 Est Ø3/8"@0.10</t>
        </is>
      </c>
      <c r="E6" s="7" t="n">
        <v>0.448</v>
      </c>
      <c r="F6" s="7" t="n">
        <v>53226.23</v>
      </c>
      <c r="G6" s="7">
        <f>ROUND(E6*F6,2)</f>
        <v/>
      </c>
    </row>
    <row r="7">
      <c r="A7" s="6" t="inlineStr">
        <is>
          <t>P030323</t>
        </is>
      </c>
      <c r="B7" s="6" t="inlineStr">
        <is>
          <t>Partida</t>
        </is>
      </c>
      <c r="C7" s="6" t="inlineStr">
        <is>
          <t>m3</t>
        </is>
      </c>
      <c r="D7" s="6" t="inlineStr">
        <is>
          <t>Columna C4  1.00 x 0.50 - 22 Ø1", 4 Est Ø3/8"@0.10</t>
        </is>
      </c>
      <c r="E7" s="7" t="n">
        <v>0.448</v>
      </c>
      <c r="F7" s="7" t="n">
        <v>53226.23</v>
      </c>
      <c r="G7" s="7">
        <f>ROUND(E7*F7,2)</f>
        <v/>
      </c>
    </row>
    <row r="8">
      <c r="A8" s="6" t="inlineStr">
        <is>
          <t>P030323</t>
        </is>
      </c>
      <c r="B8" s="6" t="inlineStr">
        <is>
          <t>Partida</t>
        </is>
      </c>
      <c r="C8" s="6" t="inlineStr">
        <is>
          <t>m3</t>
        </is>
      </c>
      <c r="D8" s="6" t="inlineStr">
        <is>
          <t>Columna C4  1.00 x 0.50 - 22 Ø1", 4 Est Ø3/8"@0.10</t>
        </is>
      </c>
      <c r="E8" s="7" t="n">
        <v>124.992</v>
      </c>
      <c r="F8" s="7" t="n">
        <v>53226.23</v>
      </c>
      <c r="G8" s="7">
        <f>ROUND(E8*F8,2)</f>
        <v/>
      </c>
    </row>
    <row r="9">
      <c r="A9" s="6" t="inlineStr">
        <is>
          <t>DUP-0001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Elemento estructural</t>
        </is>
      </c>
      <c r="E9" s="7" t="n">
        <v>175.3469999999998</v>
      </c>
      <c r="F9" s="7" t="n"/>
      <c r="G9" s="7">
        <f>ROUND(E9*F9,2)</f>
        <v/>
      </c>
    </row>
    <row r="10">
      <c r="A10" s="6" t="inlineStr">
        <is>
          <t>DUP-0002</t>
        </is>
      </c>
      <c r="B10" s="6" t="inlineStr">
        <is>
          <t>Partida</t>
        </is>
      </c>
      <c r="C10" s="6" t="inlineStr">
        <is>
          <t>m2</t>
        </is>
      </c>
      <c r="D10" s="6" t="inlineStr">
        <is>
          <t>Elemento estructural</t>
        </is>
      </c>
      <c r="E10" s="7" t="n">
        <v>0.5660000000000004</v>
      </c>
      <c r="F10" s="7" t="n"/>
      <c r="G10" s="7">
        <f>ROUND(E10*F10,2)</f>
        <v/>
      </c>
    </row>
    <row r="11">
      <c r="A11" s="6" t="inlineStr">
        <is>
          <t>DUP-0003</t>
        </is>
      </c>
      <c r="B11" s="6" t="inlineStr">
        <is>
          <t>Partida</t>
        </is>
      </c>
      <c r="C11" s="6" t="inlineStr">
        <is>
          <t>m2</t>
        </is>
      </c>
      <c r="D11" s="6" t="inlineStr">
        <is>
          <t>Elemento estructural</t>
        </is>
      </c>
      <c r="E11" s="7" t="n">
        <v>0.02000000000000001</v>
      </c>
      <c r="F11" s="7" t="n"/>
      <c r="G11" s="7">
        <f>ROUND(E11*F11,2)</f>
        <v/>
      </c>
    </row>
    <row r="12">
      <c r="A12" s="6" t="inlineStr">
        <is>
          <t>P0303105</t>
        </is>
      </c>
      <c r="B12" s="6" t="inlineStr">
        <is>
          <t>Partida</t>
        </is>
      </c>
      <c r="C12" s="6" t="inlineStr">
        <is>
          <t>m3</t>
        </is>
      </c>
      <c r="D12" s="6" t="inlineStr">
        <is>
          <t>Viga de Amarre (0.30m x 0.20m)</t>
        </is>
      </c>
      <c r="E12" s="7" t="n">
        <v>373.7829000000027</v>
      </c>
      <c r="F12" s="7" t="n">
        <v>41607.18</v>
      </c>
      <c r="G12" s="7">
        <f>ROUND(E12*F12,2)</f>
        <v/>
      </c>
    </row>
    <row r="13">
      <c r="A13" s="6" t="inlineStr">
        <is>
          <t>P0303105</t>
        </is>
      </c>
      <c r="B13" s="6" t="inlineStr">
        <is>
          <t>Partida</t>
        </is>
      </c>
      <c r="C13" s="6" t="inlineStr">
        <is>
          <t>m3</t>
        </is>
      </c>
      <c r="D13" s="6" t="inlineStr">
        <is>
          <t>Viga de Amarre (0.30m x 0.20m)</t>
        </is>
      </c>
      <c r="E13" s="7" t="n">
        <v>9.983250000000009</v>
      </c>
      <c r="F13" s="7" t="n">
        <v>41607.18</v>
      </c>
      <c r="G13" s="7">
        <f>ROUND(E13*F13,2)</f>
        <v/>
      </c>
    </row>
    <row r="14">
      <c r="A14" s="6" t="inlineStr">
        <is>
          <t>P0303105</t>
        </is>
      </c>
      <c r="B14" s="6" t="inlineStr">
        <is>
          <t>Partida</t>
        </is>
      </c>
      <c r="C14" s="6" t="inlineStr">
        <is>
          <t>m3</t>
        </is>
      </c>
      <c r="D14" s="6" t="inlineStr">
        <is>
          <t>Viga de Amarre (0.30m x 0.20m)</t>
        </is>
      </c>
      <c r="E14" s="7" t="n">
        <v>202.7625000000002</v>
      </c>
      <c r="F14" s="7" t="n">
        <v>41607.18</v>
      </c>
      <c r="G14" s="7">
        <f>ROUND(E14*F14,2)</f>
        <v/>
      </c>
    </row>
    <row r="15">
      <c r="A15" s="8" t="inlineStr"/>
      <c r="B15" s="8" t="inlineStr">
        <is>
          <t>Subtotal/Cierre de capítulo</t>
        </is>
      </c>
      <c r="C15" s="8" t="inlineStr"/>
      <c r="D15" s="8" t="inlineStr">
        <is>
          <t>Subtotal HORMIGON ARMADO</t>
        </is>
      </c>
      <c r="E15" s="9" t="n">
        <v>1</v>
      </c>
      <c r="F15" s="9">
        <f>SUM(G6,G7,G8,G9,G10,G11,G12,G13,G14)</f>
        <v/>
      </c>
      <c r="G15" s="9">
        <f>ROUND(E15*F15,2)</f>
        <v/>
      </c>
    </row>
    <row r="16">
      <c r="A16" s="4" t="inlineStr">
        <is>
          <t>DUP-CH-01.02</t>
        </is>
      </c>
      <c r="B16" s="4" t="inlineStr">
        <is>
          <t>Capítulo</t>
        </is>
      </c>
      <c r="C16" s="4" t="inlineStr"/>
      <c r="D16" s="4" t="inlineStr">
        <is>
          <t>ENCOFRADOS</t>
        </is>
      </c>
      <c r="E16" s="5">
        <f>E23</f>
        <v/>
      </c>
      <c r="F16" s="5">
        <f>F23</f>
        <v/>
      </c>
      <c r="G16" s="5">
        <f>G23</f>
        <v/>
      </c>
    </row>
    <row r="17">
      <c r="A17" s="6" t="inlineStr">
        <is>
          <t>H0502291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M.O. Encofrado columnna</t>
        </is>
      </c>
      <c r="E17" s="7" t="n">
        <v>4.48</v>
      </c>
      <c r="F17" s="7" t="n">
        <v>806</v>
      </c>
      <c r="G17" s="7">
        <f>ROUND(E17*F17,2)</f>
        <v/>
      </c>
    </row>
    <row r="18">
      <c r="A18" s="6" t="inlineStr">
        <is>
          <t>H0502291</t>
        </is>
      </c>
      <c r="B18" s="6" t="inlineStr">
        <is>
          <t>Partida</t>
        </is>
      </c>
      <c r="C18" s="6" t="inlineStr">
        <is>
          <t>m2</t>
        </is>
      </c>
      <c r="D18" s="6" t="inlineStr">
        <is>
          <t>M.O. Encofrado columnna</t>
        </is>
      </c>
      <c r="E18" s="7" t="n">
        <v>4.48</v>
      </c>
      <c r="F18" s="7" t="n">
        <v>806</v>
      </c>
      <c r="G18" s="7">
        <f>ROUND(E18*F18,2)</f>
        <v/>
      </c>
    </row>
    <row r="19">
      <c r="A19" s="6" t="inlineStr">
        <is>
          <t>H0502291</t>
        </is>
      </c>
      <c r="B19" s="6" t="inlineStr">
        <is>
          <t>Partida</t>
        </is>
      </c>
      <c r="C19" s="6" t="inlineStr">
        <is>
          <t>m2</t>
        </is>
      </c>
      <c r="D19" s="6" t="inlineStr">
        <is>
          <t>M.O. Encofrado columnna</t>
        </is>
      </c>
      <c r="E19" s="7" t="n">
        <v>1249.92</v>
      </c>
      <c r="F19" s="7" t="n">
        <v>806</v>
      </c>
      <c r="G19" s="7">
        <f>ROUND(E19*F19,2)</f>
        <v/>
      </c>
    </row>
    <row r="20">
      <c r="A20" s="6" t="inlineStr">
        <is>
          <t>H0502195</t>
        </is>
      </c>
      <c r="B20" s="6" t="inlineStr">
        <is>
          <t>Partida</t>
        </is>
      </c>
      <c r="C20" s="6" t="inlineStr">
        <is>
          <t>m2</t>
        </is>
      </c>
      <c r="D20" s="6" t="inlineStr">
        <is>
          <t>M.O. Encofrado Vigas</t>
        </is>
      </c>
      <c r="E20" s="7" t="n">
        <v>3239.451800000024</v>
      </c>
      <c r="F20" s="7" t="n">
        <v>1400</v>
      </c>
      <c r="G20" s="7">
        <f>ROUND(E20*F20,2)</f>
        <v/>
      </c>
    </row>
    <row r="21">
      <c r="A21" s="6" t="inlineStr">
        <is>
          <t>H0502195</t>
        </is>
      </c>
      <c r="B21" s="6" t="inlineStr">
        <is>
          <t>Partida</t>
        </is>
      </c>
      <c r="C21" s="6" t="inlineStr">
        <is>
          <t>m2</t>
        </is>
      </c>
      <c r="D21" s="6" t="inlineStr">
        <is>
          <t>M.O. Encofrado Vigas</t>
        </is>
      </c>
      <c r="E21" s="7" t="n">
        <v>86.52150000000009</v>
      </c>
      <c r="F21" s="7" t="n">
        <v>1400</v>
      </c>
      <c r="G21" s="7">
        <f>ROUND(E21*F21,2)</f>
        <v/>
      </c>
    </row>
    <row r="22">
      <c r="A22" s="6" t="inlineStr">
        <is>
          <t>H0502195</t>
        </is>
      </c>
      <c r="B22" s="6" t="inlineStr">
        <is>
          <t>Partida</t>
        </is>
      </c>
      <c r="C22" s="6" t="inlineStr">
        <is>
          <t>m2</t>
        </is>
      </c>
      <c r="D22" s="6" t="inlineStr">
        <is>
          <t>M.O. Encofrado Vigas</t>
        </is>
      </c>
      <c r="E22" s="7" t="n">
        <v>1757.275000000002</v>
      </c>
      <c r="F22" s="7" t="n">
        <v>1400</v>
      </c>
      <c r="G22" s="7">
        <f>ROUND(E22*F22,2)</f>
        <v/>
      </c>
    </row>
    <row r="23">
      <c r="A23" s="8" t="inlineStr"/>
      <c r="B23" s="8" t="inlineStr">
        <is>
          <t>Subtotal/Cierre de capítulo</t>
        </is>
      </c>
      <c r="C23" s="8" t="inlineStr"/>
      <c r="D23" s="8" t="inlineStr">
        <is>
          <t>Subtotal ENCOFRADOS</t>
        </is>
      </c>
      <c r="E23" s="9" t="n">
        <v>1</v>
      </c>
      <c r="F23" s="9">
        <f>SUM(G17,G18,G19,G20,G21,G22)</f>
        <v/>
      </c>
      <c r="G23" s="9">
        <f>ROUND(E23*F23,2)</f>
        <v/>
      </c>
    </row>
    <row r="24">
      <c r="A24" s="8" t="inlineStr"/>
      <c r="B24" s="8" t="inlineStr">
        <is>
          <t>Subtotal/Cierre de capítulo</t>
        </is>
      </c>
      <c r="C24" s="8" t="inlineStr"/>
      <c r="D24" s="8" t="inlineStr">
        <is>
          <t>Subtotal ESTRUCTURA</t>
        </is>
      </c>
      <c r="E24" s="9" t="n">
        <v>1</v>
      </c>
      <c r="F24" s="9">
        <f>SUM(G15,G23)</f>
        <v/>
      </c>
      <c r="G24" s="9">
        <f>ROUND(E24*F24,2)</f>
        <v/>
      </c>
    </row>
    <row r="25">
      <c r="A25" s="4" t="inlineStr">
        <is>
          <t>DUP-CH-05</t>
        </is>
      </c>
      <c r="B25" s="4" t="inlineStr">
        <is>
          <t>Capítulo</t>
        </is>
      </c>
      <c r="C25" s="4" t="inlineStr"/>
      <c r="D25" s="4" t="inlineStr">
        <is>
          <t>TERMINACIONES</t>
        </is>
      </c>
      <c r="E25" s="5">
        <f>E30</f>
        <v/>
      </c>
      <c r="F25" s="5">
        <f>F30</f>
        <v/>
      </c>
      <c r="G25" s="5">
        <f>G30</f>
        <v/>
      </c>
    </row>
    <row r="26">
      <c r="A26" s="4" t="inlineStr">
        <is>
          <t>DUP-CH-05.01</t>
        </is>
      </c>
      <c r="B26" s="4" t="inlineStr">
        <is>
          <t>Capítulo</t>
        </is>
      </c>
      <c r="C26" s="4" t="inlineStr"/>
      <c r="D26" s="4" t="inlineStr">
        <is>
          <t>TERMINACION DE SUPERFICIES</t>
        </is>
      </c>
      <c r="E26" s="5">
        <f>E29</f>
        <v/>
      </c>
      <c r="F26" s="5">
        <f>F29</f>
        <v/>
      </c>
      <c r="G26" s="5">
        <f>G29</f>
        <v/>
      </c>
    </row>
    <row r="27">
      <c r="A27" s="6" t="inlineStr">
        <is>
          <t>P0501101</t>
        </is>
      </c>
      <c r="B27" s="6" t="inlineStr">
        <is>
          <t>Partida</t>
        </is>
      </c>
      <c r="C27" s="6" t="inlineStr">
        <is>
          <t>m2</t>
        </is>
      </c>
      <c r="D27" s="6" t="inlineStr">
        <is>
          <t>Pañete en muros Interiores e=1.75cm</t>
        </is>
      </c>
      <c r="E27" s="7" t="n">
        <v>11683.9911999999</v>
      </c>
      <c r="F27" s="7" t="n">
        <v>544.9</v>
      </c>
      <c r="G27" s="7">
        <f>ROUND(E27*F27,2)</f>
        <v/>
      </c>
    </row>
    <row r="28">
      <c r="A28" s="6" t="inlineStr">
        <is>
          <t>DUP-0004</t>
        </is>
      </c>
      <c r="B28" s="6" t="inlineStr">
        <is>
          <t>Partida</t>
        </is>
      </c>
      <c r="C28" s="6" t="inlineStr">
        <is>
          <t>m2</t>
        </is>
      </c>
      <c r="D28" s="6" t="inlineStr">
        <is>
          <t>Pintura en muros</t>
        </is>
      </c>
      <c r="E28" s="7" t="n">
        <v>11683.9911999999</v>
      </c>
      <c r="F28" s="7" t="n"/>
      <c r="G28" s="7">
        <f>ROUND(E28*F28,2)</f>
        <v/>
      </c>
    </row>
    <row r="29">
      <c r="A29" s="8" t="inlineStr"/>
      <c r="B29" s="8" t="inlineStr">
        <is>
          <t>Subtotal/Cierre de capítulo</t>
        </is>
      </c>
      <c r="C29" s="8" t="inlineStr"/>
      <c r="D29" s="8" t="inlineStr">
        <is>
          <t>Subtotal TERMINACION DE SUPERFICIES</t>
        </is>
      </c>
      <c r="E29" s="9" t="n">
        <v>1</v>
      </c>
      <c r="F29" s="9">
        <f>SUM(G27,G28)</f>
        <v/>
      </c>
      <c r="G29" s="9">
        <f>ROUND(E29*F29,2)</f>
        <v/>
      </c>
    </row>
    <row r="30">
      <c r="A30" s="8" t="inlineStr"/>
      <c r="B30" s="8" t="inlineStr">
        <is>
          <t>Subtotal/Cierre de capítulo</t>
        </is>
      </c>
      <c r="C30" s="8" t="inlineStr"/>
      <c r="D30" s="8" t="inlineStr">
        <is>
          <t>Subtotal TERMINACIONES</t>
        </is>
      </c>
      <c r="E30" s="9" t="n">
        <v>1</v>
      </c>
      <c r="F30" s="9">
        <f>SUM(G29)</f>
        <v/>
      </c>
      <c r="G30" s="9">
        <f>ROUND(E30*F30,2)</f>
        <v/>
      </c>
    </row>
    <row r="31">
      <c r="A31" s="4" t="inlineStr">
        <is>
          <t>DUP-CH-06</t>
        </is>
      </c>
      <c r="B31" s="4" t="inlineStr">
        <is>
          <t>Capítulo</t>
        </is>
      </c>
      <c r="C31" s="4" t="inlineStr"/>
      <c r="D31" s="4" t="inlineStr">
        <is>
          <t>CARPINTERIAS</t>
        </is>
      </c>
      <c r="E31" s="5">
        <f>E47</f>
        <v/>
      </c>
      <c r="F31" s="5">
        <f>F47</f>
        <v/>
      </c>
      <c r="G31" s="5">
        <f>G47</f>
        <v/>
      </c>
    </row>
    <row r="32">
      <c r="A32" s="4" t="inlineStr">
        <is>
          <t>DUP-CH-06.01</t>
        </is>
      </c>
      <c r="B32" s="4" t="inlineStr">
        <is>
          <t>Capítulo</t>
        </is>
      </c>
      <c r="C32" s="4" t="inlineStr"/>
      <c r="D32" s="4" t="inlineStr">
        <is>
          <t>PUERTAS</t>
        </is>
      </c>
      <c r="E32" s="5">
        <f>E39</f>
        <v/>
      </c>
      <c r="F32" s="5">
        <f>F39</f>
        <v/>
      </c>
      <c r="G32" s="5">
        <f>G39</f>
        <v/>
      </c>
    </row>
    <row r="33">
      <c r="A33" s="6" t="inlineStr">
        <is>
          <t>M0811170</t>
        </is>
      </c>
      <c r="B33" s="6" t="inlineStr">
        <is>
          <t>Partida</t>
        </is>
      </c>
      <c r="C33" s="6" t="inlineStr">
        <is>
          <t>unit</t>
        </is>
      </c>
      <c r="D33" s="6" t="inlineStr">
        <is>
          <t>Llavín Stanley para puertas</t>
        </is>
      </c>
      <c r="E33" s="7" t="n">
        <v>35</v>
      </c>
      <c r="F33" s="7" t="n">
        <v>1750</v>
      </c>
      <c r="G33" s="7">
        <f>ROUND(E33*F33,2)</f>
        <v/>
      </c>
    </row>
    <row r="34">
      <c r="A34" s="6" t="inlineStr">
        <is>
          <t>M0811170</t>
        </is>
      </c>
      <c r="B34" s="6" t="inlineStr">
        <is>
          <t>Partida</t>
        </is>
      </c>
      <c r="C34" s="6" t="inlineStr">
        <is>
          <t>unit</t>
        </is>
      </c>
      <c r="D34" s="6" t="inlineStr">
        <is>
          <t>Llavín Stanley para puertas</t>
        </is>
      </c>
      <c r="E34" s="7" t="n">
        <v>35</v>
      </c>
      <c r="F34" s="7" t="n">
        <v>1750</v>
      </c>
      <c r="G34" s="7">
        <f>ROUND(E34*F34,2)</f>
        <v/>
      </c>
    </row>
    <row r="35">
      <c r="A35" s="6" t="inlineStr">
        <is>
          <t>M0811170</t>
        </is>
      </c>
      <c r="B35" s="6" t="inlineStr">
        <is>
          <t>Partida</t>
        </is>
      </c>
      <c r="C35" s="6" t="inlineStr">
        <is>
          <t>unit</t>
        </is>
      </c>
      <c r="D35" s="6" t="inlineStr">
        <is>
          <t>Llavín Stanley para puertas</t>
        </is>
      </c>
      <c r="E35" s="7" t="n">
        <v>133</v>
      </c>
      <c r="F35" s="7" t="n">
        <v>1750</v>
      </c>
      <c r="G35" s="7">
        <f>ROUND(E35*F35,2)</f>
        <v/>
      </c>
    </row>
    <row r="36">
      <c r="A36" s="6" t="inlineStr">
        <is>
          <t>P1501051</t>
        </is>
      </c>
      <c r="B36" s="6" t="inlineStr">
        <is>
          <t>Partida</t>
        </is>
      </c>
      <c r="C36" s="6" t="inlineStr">
        <is>
          <t>unit</t>
        </is>
      </c>
      <c r="D36" s="6" t="inlineStr">
        <is>
          <t>Puerta Madera Andiroba, 0.80-0.90m x 2.10m Interior</t>
        </is>
      </c>
      <c r="E36" s="7" t="n">
        <v>35</v>
      </c>
      <c r="F36" s="7" t="n">
        <v>33915</v>
      </c>
      <c r="G36" s="7">
        <f>ROUND(E36*F36,2)</f>
        <v/>
      </c>
    </row>
    <row r="37">
      <c r="A37" s="6" t="inlineStr">
        <is>
          <t>P1501051</t>
        </is>
      </c>
      <c r="B37" s="6" t="inlineStr">
        <is>
          <t>Partida</t>
        </is>
      </c>
      <c r="C37" s="6" t="inlineStr">
        <is>
          <t>unit</t>
        </is>
      </c>
      <c r="D37" s="6" t="inlineStr">
        <is>
          <t>Puerta Madera Andiroba, 0.80-0.90m x 2.10m Interior</t>
        </is>
      </c>
      <c r="E37" s="7" t="n">
        <v>35</v>
      </c>
      <c r="F37" s="7" t="n">
        <v>33915</v>
      </c>
      <c r="G37" s="7">
        <f>ROUND(E37*F37,2)</f>
        <v/>
      </c>
    </row>
    <row r="38">
      <c r="A38" s="6" t="inlineStr">
        <is>
          <t>P1501051</t>
        </is>
      </c>
      <c r="B38" s="6" t="inlineStr">
        <is>
          <t>Partida</t>
        </is>
      </c>
      <c r="C38" s="6" t="inlineStr">
        <is>
          <t>unit</t>
        </is>
      </c>
      <c r="D38" s="6" t="inlineStr">
        <is>
          <t>Puerta Madera Andiroba, 0.80-0.90m x 2.10m Interior</t>
        </is>
      </c>
      <c r="E38" s="7" t="n">
        <v>133</v>
      </c>
      <c r="F38" s="7" t="n">
        <v>33915</v>
      </c>
      <c r="G38" s="7">
        <f>ROUND(E38*F38,2)</f>
        <v/>
      </c>
    </row>
    <row r="39">
      <c r="A39" s="8" t="inlineStr"/>
      <c r="B39" s="8" t="inlineStr">
        <is>
          <t>Subtotal/Cierre de capítulo</t>
        </is>
      </c>
      <c r="C39" s="8" t="inlineStr"/>
      <c r="D39" s="8" t="inlineStr">
        <is>
          <t>Subtotal PUERTAS</t>
        </is>
      </c>
      <c r="E39" s="9" t="n">
        <v>1</v>
      </c>
      <c r="F39" s="9">
        <f>SUM(G33,G34,G35,G36,G37,G38)</f>
        <v/>
      </c>
      <c r="G39" s="9">
        <f>ROUND(E39*F39,2)</f>
        <v/>
      </c>
    </row>
    <row r="40">
      <c r="A40" s="4" t="inlineStr">
        <is>
          <t>DUP-CH-06.02</t>
        </is>
      </c>
      <c r="B40" s="4" t="inlineStr">
        <is>
          <t>Capítulo</t>
        </is>
      </c>
      <c r="C40" s="4" t="inlineStr"/>
      <c r="D40" s="4" t="inlineStr">
        <is>
          <t>VENTANAS</t>
        </is>
      </c>
      <c r="E40" s="5">
        <f>E46</f>
        <v/>
      </c>
      <c r="F40" s="5">
        <f>F46</f>
        <v/>
      </c>
      <c r="G40" s="5">
        <f>G46</f>
        <v/>
      </c>
    </row>
    <row r="41">
      <c r="A41" s="6" t="inlineStr">
        <is>
          <t>H140900</t>
        </is>
      </c>
      <c r="B41" s="6" t="inlineStr">
        <is>
          <t>Partida</t>
        </is>
      </c>
      <c r="C41" s="6" t="inlineStr">
        <is>
          <t>unit</t>
        </is>
      </c>
      <c r="D41" s="6" t="inlineStr">
        <is>
          <t>Mano de obra instalación mampara</t>
        </is>
      </c>
      <c r="E41" s="7" t="n">
        <v>5</v>
      </c>
      <c r="F41" s="7" t="n">
        <v>1500</v>
      </c>
      <c r="G41" s="7">
        <f>ROUND(E41*F41,2)</f>
        <v/>
      </c>
    </row>
    <row r="42">
      <c r="A42" s="6" t="inlineStr">
        <is>
          <t>H140900</t>
        </is>
      </c>
      <c r="B42" s="6" t="inlineStr">
        <is>
          <t>Partida</t>
        </is>
      </c>
      <c r="C42" s="6" t="inlineStr">
        <is>
          <t>unit</t>
        </is>
      </c>
      <c r="D42" s="6" t="inlineStr">
        <is>
          <t>Mano de obra instalación mampara</t>
        </is>
      </c>
      <c r="E42" s="7" t="n">
        <v>39</v>
      </c>
      <c r="F42" s="7" t="n">
        <v>1500</v>
      </c>
      <c r="G42" s="7">
        <f>ROUND(E42*F42,2)</f>
        <v/>
      </c>
    </row>
    <row r="43">
      <c r="A43" s="6" t="inlineStr">
        <is>
          <t>H140900</t>
        </is>
      </c>
      <c r="B43" s="6" t="inlineStr">
        <is>
          <t>Partida</t>
        </is>
      </c>
      <c r="C43" s="6" t="inlineStr">
        <is>
          <t>unit</t>
        </is>
      </c>
      <c r="D43" s="6" t="inlineStr">
        <is>
          <t>Mano de obra instalación mampara</t>
        </is>
      </c>
      <c r="E43" s="7" t="n">
        <v>5</v>
      </c>
      <c r="F43" s="7" t="n">
        <v>1500</v>
      </c>
      <c r="G43" s="7">
        <f>ROUND(E43*F43,2)</f>
        <v/>
      </c>
    </row>
    <row r="44">
      <c r="A44" s="6" t="inlineStr">
        <is>
          <t>H140900</t>
        </is>
      </c>
      <c r="B44" s="6" t="inlineStr">
        <is>
          <t>Partida</t>
        </is>
      </c>
      <c r="C44" s="6" t="inlineStr">
        <is>
          <t>unit</t>
        </is>
      </c>
      <c r="D44" s="6" t="inlineStr">
        <is>
          <t>Mano de obra instalación mampara</t>
        </is>
      </c>
      <c r="E44" s="7" t="n">
        <v>19</v>
      </c>
      <c r="F44" s="7" t="n">
        <v>1500</v>
      </c>
      <c r="G44" s="7">
        <f>ROUND(E44*F44,2)</f>
        <v/>
      </c>
    </row>
    <row r="45">
      <c r="A45" s="6" t="inlineStr">
        <is>
          <t>H140900</t>
        </is>
      </c>
      <c r="B45" s="6" t="inlineStr">
        <is>
          <t>Partida</t>
        </is>
      </c>
      <c r="C45" s="6" t="inlineStr">
        <is>
          <t>unit</t>
        </is>
      </c>
      <c r="D45" s="6" t="inlineStr">
        <is>
          <t>Mano de obra instalación mampara</t>
        </is>
      </c>
      <c r="E45" s="7" t="n">
        <v>4</v>
      </c>
      <c r="F45" s="7" t="n">
        <v>1500</v>
      </c>
      <c r="G45" s="7">
        <f>ROUND(E45*F45,2)</f>
        <v/>
      </c>
    </row>
    <row r="46">
      <c r="A46" s="8" t="inlineStr"/>
      <c r="B46" s="8" t="inlineStr">
        <is>
          <t>Subtotal/Cierre de capítulo</t>
        </is>
      </c>
      <c r="C46" s="8" t="inlineStr"/>
      <c r="D46" s="8" t="inlineStr">
        <is>
          <t>Subtotal VENTANAS</t>
        </is>
      </c>
      <c r="E46" s="9" t="n">
        <v>1</v>
      </c>
      <c r="F46" s="9">
        <f>SUM(G41,G42,G43,G44,G45)</f>
        <v/>
      </c>
      <c r="G46" s="9">
        <f>ROUND(E46*F46,2)</f>
        <v/>
      </c>
    </row>
    <row r="47">
      <c r="A47" s="8" t="inlineStr"/>
      <c r="B47" s="8" t="inlineStr">
        <is>
          <t>Subtotal/Cierre de capítulo</t>
        </is>
      </c>
      <c r="C47" s="8" t="inlineStr"/>
      <c r="D47" s="8" t="inlineStr">
        <is>
          <t>Subtotal CARPINTERIAS</t>
        </is>
      </c>
      <c r="E47" s="9" t="n">
        <v>1</v>
      </c>
      <c r="F47" s="9">
        <f>SUM(G39,G46)</f>
        <v/>
      </c>
      <c r="G47" s="9">
        <f>ROUND(E47*F47,2)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2026-04-07T23:55:09Z</dcterms:created>
  <dcterms:modified xsi:type="dcterms:W3CDTF">2026-04-07T23:55:09Z</dcterms:modified>
</cp:coreProperties>
</file>