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t="inlineStr">
        <is>
          <t>Código</t>
        </is>
      </c>
      <c r="B1" t="inlineStr">
        <is>
          <t>Nat</t>
        </is>
      </c>
      <c r="C1" t="inlineStr">
        <is>
          <t>Ud</t>
        </is>
      </c>
      <c r="D1" t="inlineStr">
        <is>
          <t>Resumen</t>
        </is>
      </c>
      <c r="E1" t="inlineStr">
        <is>
          <t>CanPres</t>
        </is>
      </c>
      <c r="F1" t="inlineStr">
        <is>
          <t>PrPres</t>
        </is>
      </c>
      <c r="G1" t="inlineStr">
        <is>
          <t>ImpPres</t>
        </is>
      </c>
      <c r="H1" t="inlineStr">
        <is>
          <t>Corrección Código</t>
        </is>
      </c>
      <c r="I1" t="inlineStr">
        <is>
          <t>Corrección Cantidad</t>
        </is>
      </c>
      <c r="J1" t="inlineStr">
        <is>
          <t>Corrección Unidad</t>
        </is>
      </c>
      <c r="K1" t="inlineStr">
        <is>
          <t>Tipo Corrección</t>
        </is>
      </c>
      <c r="L1" t="inlineStr">
        <is>
          <t>Notas Revisor</t>
        </is>
      </c>
    </row>
    <row r="2">
      <c r="A2" t="inlineStr">
        <is>
          <t>DUP-CH-01</t>
        </is>
      </c>
      <c r="B2" t="inlineStr">
        <is>
          <t>Capítulo</t>
        </is>
      </c>
      <c r="C2" t="inlineStr"/>
      <c r="D2" t="inlineStr">
        <is>
          <t>ESTRUCTURA</t>
        </is>
      </c>
      <c r="E2">
        <f>E26</f>
        <v/>
      </c>
      <c r="F2">
        <f>F26</f>
        <v/>
      </c>
      <c r="G2">
        <f>G26</f>
        <v/>
      </c>
      <c r="H2" t="inlineStr"/>
      <c r="I2" t="inlineStr"/>
      <c r="J2" t="inlineStr"/>
      <c r="K2" t="inlineStr"/>
      <c r="L2" t="inlineStr"/>
    </row>
    <row r="3">
      <c r="A3" t="inlineStr">
        <is>
          <t>DUP-CH-01.01</t>
        </is>
      </c>
      <c r="B3" t="inlineStr">
        <is>
          <t>Capítulo</t>
        </is>
      </c>
      <c r="C3" t="inlineStr"/>
      <c r="D3" t="inlineStr">
        <is>
          <t>HORMIGON ARMADO</t>
        </is>
      </c>
      <c r="E3">
        <f>E16</f>
        <v/>
      </c>
      <c r="F3">
        <f>F16</f>
        <v/>
      </c>
      <c r="G3">
        <f>G16</f>
        <v/>
      </c>
      <c r="H3" t="inlineStr"/>
      <c r="I3" t="inlineStr"/>
      <c r="J3" t="inlineStr"/>
      <c r="K3" t="inlineStr"/>
      <c r="L3" t="inlineStr"/>
    </row>
    <row r="4">
      <c r="A4" t="inlineStr">
        <is>
          <t>P030323</t>
        </is>
      </c>
      <c r="B4" t="inlineStr">
        <is>
          <t>Partida</t>
        </is>
      </c>
      <c r="C4" t="inlineStr">
        <is>
          <t>m3</t>
        </is>
      </c>
      <c r="D4" t="inlineStr">
        <is>
          <t>Columna C4  1.00 x 0.50 - 22 Ø1", 4 Est Ø3/8"@0.10</t>
        </is>
      </c>
      <c r="E4" t="n">
        <v>0.448</v>
      </c>
      <c r="F4" t="n">
        <v>53226.23</v>
      </c>
      <c r="G4">
        <f>ROUND(E6*F6,2)</f>
        <v/>
      </c>
      <c r="H4" t="inlineStr"/>
      <c r="I4" t="inlineStr"/>
      <c r="J4" t="inlineStr"/>
      <c r="K4" t="inlineStr"/>
      <c r="L4" t="inlineStr"/>
    </row>
    <row r="5">
      <c r="A5" t="inlineStr">
        <is>
          <t>P030323</t>
        </is>
      </c>
      <c r="B5" t="inlineStr">
        <is>
          <t>Partida</t>
        </is>
      </c>
      <c r="C5" t="inlineStr">
        <is>
          <t>m3</t>
        </is>
      </c>
      <c r="D5" t="inlineStr">
        <is>
          <t>Columna C4  1.00 x 0.50 - 22 Ø1", 4 Est Ø3/8"@0.10</t>
        </is>
      </c>
      <c r="E5" t="n">
        <v>0.448</v>
      </c>
      <c r="F5" t="n">
        <v>53226.23</v>
      </c>
      <c r="G5">
        <f>ROUND(E7*F7,2)</f>
        <v/>
      </c>
      <c r="H5" t="inlineStr"/>
      <c r="I5" t="inlineStr"/>
      <c r="J5" t="inlineStr"/>
      <c r="K5" t="inlineStr"/>
      <c r="L5" t="inlineStr"/>
    </row>
    <row r="6">
      <c r="A6" t="inlineStr">
        <is>
          <t>P030323</t>
        </is>
      </c>
      <c r="B6" t="inlineStr">
        <is>
          <t>Partida</t>
        </is>
      </c>
      <c r="C6" t="inlineStr">
        <is>
          <t>m3</t>
        </is>
      </c>
      <c r="D6" t="inlineStr">
        <is>
          <t>Columna C4  1.00 x 0.50 - 22 Ø1", 4 Est Ø3/8"@0.10</t>
        </is>
      </c>
      <c r="E6" t="n">
        <v>124.992</v>
      </c>
      <c r="F6" t="n">
        <v>53226.23</v>
      </c>
      <c r="G6">
        <f>ROUND(E8*F8,2)</f>
        <v/>
      </c>
      <c r="H6" t="inlineStr"/>
      <c r="I6" t="inlineStr"/>
      <c r="J6" t="inlineStr"/>
      <c r="K6" t="inlineStr"/>
      <c r="L6" t="inlineStr"/>
    </row>
    <row r="7">
      <c r="A7" t="inlineStr">
        <is>
          <t>P030323</t>
        </is>
      </c>
      <c r="B7" t="inlineStr">
        <is>
          <t>Partida</t>
        </is>
      </c>
      <c r="C7" t="inlineStr">
        <is>
          <t>m3</t>
        </is>
      </c>
      <c r="D7" t="inlineStr">
        <is>
          <t>Columna C4  1.00 x 0.50 - 22 Ø1", 4 Est Ø3/8"@0.10</t>
        </is>
      </c>
      <c r="E7" t="n">
        <v>0.448</v>
      </c>
      <c r="F7" t="n">
        <v>53226.23</v>
      </c>
      <c r="G7">
        <f>ROUND(E9*F9,2)</f>
        <v/>
      </c>
      <c r="H7" t="inlineStr"/>
      <c r="I7" t="inlineStr"/>
      <c r="J7" t="inlineStr"/>
      <c r="K7" t="inlineStr"/>
      <c r="L7" t="inlineStr"/>
    </row>
    <row r="8">
      <c r="A8" t="inlineStr">
        <is>
          <t>DUP-0001</t>
        </is>
      </c>
      <c r="B8" t="inlineStr">
        <is>
          <t>Partida</t>
        </is>
      </c>
      <c r="C8" t="inlineStr">
        <is>
          <t>m2</t>
        </is>
      </c>
      <c r="D8" t="inlineStr">
        <is>
          <t>Elemento estructural</t>
        </is>
      </c>
      <c r="E8" t="n">
        <v>175.3469999999998</v>
      </c>
      <c r="G8">
        <f>ROUND(E10*F10,2)</f>
        <v/>
      </c>
      <c r="H8" t="inlineStr"/>
      <c r="I8" t="inlineStr"/>
      <c r="J8" t="inlineStr"/>
      <c r="K8" t="inlineStr"/>
      <c r="L8" t="inlineStr"/>
    </row>
    <row r="9">
      <c r="A9" t="inlineStr">
        <is>
          <t>DUP-0002</t>
        </is>
      </c>
      <c r="B9" t="inlineStr">
        <is>
          <t>Partida</t>
        </is>
      </c>
      <c r="C9" t="inlineStr">
        <is>
          <t>m2</t>
        </is>
      </c>
      <c r="D9" t="inlineStr">
        <is>
          <t>Elemento estructural</t>
        </is>
      </c>
      <c r="E9" t="n">
        <v>0.5660000000000004</v>
      </c>
      <c r="G9">
        <f>ROUND(E11*F11,2)</f>
        <v/>
      </c>
      <c r="H9" t="inlineStr"/>
      <c r="I9" t="inlineStr"/>
      <c r="J9" t="inlineStr"/>
      <c r="K9" t="inlineStr"/>
      <c r="L9" t="inlineStr"/>
    </row>
    <row r="10">
      <c r="A10" t="inlineStr">
        <is>
          <t>DUP-0003</t>
        </is>
      </c>
      <c r="B10" t="inlineStr">
        <is>
          <t>Partida</t>
        </is>
      </c>
      <c r="C10" t="inlineStr">
        <is>
          <t>m2</t>
        </is>
      </c>
      <c r="D10" t="inlineStr">
        <is>
          <t>Elemento estructural</t>
        </is>
      </c>
      <c r="E10" t="n">
        <v>0.02000000000000001</v>
      </c>
      <c r="G10">
        <f>ROUND(E12*F12,2)</f>
        <v/>
      </c>
      <c r="H10" t="inlineStr"/>
      <c r="I10" t="inlineStr"/>
      <c r="J10" t="inlineStr"/>
      <c r="K10" t="inlineStr"/>
      <c r="L10" t="inlineStr"/>
    </row>
    <row r="11">
      <c r="A11" t="inlineStr">
        <is>
          <t>P0303105</t>
        </is>
      </c>
      <c r="B11" t="inlineStr">
        <is>
          <t>Partida</t>
        </is>
      </c>
      <c r="C11" t="inlineStr">
        <is>
          <t>m3</t>
        </is>
      </c>
      <c r="D11" t="inlineStr">
        <is>
          <t>Viga de Amarre (0.30m x 0.20m)</t>
        </is>
      </c>
      <c r="E11" t="n">
        <v>373.7829000000027</v>
      </c>
      <c r="F11" t="n">
        <v>41607.18</v>
      </c>
      <c r="G11">
        <f>ROUND(E13*F13,2)</f>
        <v/>
      </c>
      <c r="H11" t="inlineStr"/>
      <c r="I11" t="inlineStr"/>
      <c r="J11" t="inlineStr"/>
      <c r="K11" t="inlineStr"/>
      <c r="L11" t="inlineStr"/>
    </row>
    <row r="12">
      <c r="A12" t="inlineStr">
        <is>
          <t>P0303105</t>
        </is>
      </c>
      <c r="B12" t="inlineStr">
        <is>
          <t>Partida</t>
        </is>
      </c>
      <c r="C12" t="inlineStr">
        <is>
          <t>m3</t>
        </is>
      </c>
      <c r="D12" t="inlineStr">
        <is>
          <t>Viga de Amarre (0.30m x 0.20m)</t>
        </is>
      </c>
      <c r="E12" t="n">
        <v>9.983250000000009</v>
      </c>
      <c r="F12" t="n">
        <v>41607.18</v>
      </c>
      <c r="G12">
        <f>ROUND(E14*F14,2)</f>
        <v/>
      </c>
      <c r="H12" t="inlineStr"/>
      <c r="I12" t="inlineStr"/>
      <c r="J12" t="inlineStr"/>
      <c r="K12" t="inlineStr"/>
      <c r="L12" t="inlineStr"/>
    </row>
    <row r="13">
      <c r="A13" t="inlineStr">
        <is>
          <t>P0303105</t>
        </is>
      </c>
      <c r="B13" t="inlineStr">
        <is>
          <t>Partida</t>
        </is>
      </c>
      <c r="C13" t="inlineStr">
        <is>
          <t>m3</t>
        </is>
      </c>
      <c r="D13" t="inlineStr">
        <is>
          <t>Viga de Amarre (0.30m x 0.20m)</t>
        </is>
      </c>
      <c r="E13" t="n">
        <v>202.7625000000002</v>
      </c>
      <c r="F13" t="n">
        <v>41607.18</v>
      </c>
      <c r="G13">
        <f>ROUND(E15*F15,2)</f>
        <v/>
      </c>
      <c r="H13" t="inlineStr"/>
      <c r="I13" t="inlineStr"/>
      <c r="J13" t="inlineStr"/>
      <c r="K13" t="inlineStr"/>
      <c r="L13" t="inlineStr"/>
    </row>
    <row r="14">
      <c r="A14" t="inlineStr"/>
      <c r="B14" t="inlineStr">
        <is>
          <t>Subtotal/Cierre de capítulo</t>
        </is>
      </c>
      <c r="C14" t="inlineStr"/>
      <c r="D14" t="inlineStr">
        <is>
          <t>Subtotal HORMIGON ARMADO</t>
        </is>
      </c>
      <c r="E14" t="n">
        <v>1</v>
      </c>
      <c r="F14">
        <f>SUM(G6,G7,G8,G9,G10,G11,G12,G13,G14,G15)</f>
        <v/>
      </c>
      <c r="G14">
        <f>ROUND(E16*F16,2)</f>
        <v/>
      </c>
      <c r="H14" t="inlineStr"/>
      <c r="I14" t="inlineStr"/>
      <c r="J14" t="inlineStr"/>
      <c r="K14" t="inlineStr"/>
      <c r="L14" t="inlineStr"/>
    </row>
    <row r="15">
      <c r="A15" t="inlineStr">
        <is>
          <t>DUP-CH-01.02</t>
        </is>
      </c>
      <c r="B15" t="inlineStr">
        <is>
          <t>Capítulo</t>
        </is>
      </c>
      <c r="C15" t="inlineStr"/>
      <c r="D15" t="inlineStr">
        <is>
          <t>ENCOFRADOS</t>
        </is>
      </c>
      <c r="E15">
        <f>E25</f>
        <v/>
      </c>
      <c r="F15">
        <f>F25</f>
        <v/>
      </c>
      <c r="G15">
        <f>G25</f>
        <v/>
      </c>
      <c r="H15" t="inlineStr"/>
      <c r="I15" t="inlineStr"/>
      <c r="J15" t="inlineStr"/>
      <c r="K15" t="inlineStr"/>
      <c r="L15" t="inlineStr"/>
    </row>
    <row r="16">
      <c r="A16" t="inlineStr">
        <is>
          <t>H0502291</t>
        </is>
      </c>
      <c r="B16" t="inlineStr">
        <is>
          <t>Partida</t>
        </is>
      </c>
      <c r="C16" t="inlineStr">
        <is>
          <t>m2</t>
        </is>
      </c>
      <c r="D16" t="inlineStr">
        <is>
          <t>M.O. Encofrado columnna</t>
        </is>
      </c>
      <c r="E16" t="n">
        <v>4.48</v>
      </c>
      <c r="F16" t="n">
        <v>806</v>
      </c>
      <c r="G16">
        <f>ROUND(E18*F18,2)</f>
        <v/>
      </c>
      <c r="H16" t="inlineStr"/>
      <c r="I16" t="inlineStr"/>
      <c r="J16" t="inlineStr"/>
      <c r="K16" t="inlineStr"/>
      <c r="L16" t="inlineStr"/>
    </row>
    <row r="17">
      <c r="A17" t="inlineStr">
        <is>
          <t>H0502291</t>
        </is>
      </c>
      <c r="B17" t="inlineStr">
        <is>
          <t>Partida</t>
        </is>
      </c>
      <c r="C17" t="inlineStr">
        <is>
          <t>m2</t>
        </is>
      </c>
      <c r="D17" t="inlineStr">
        <is>
          <t>M.O. Encofrado columnna</t>
        </is>
      </c>
      <c r="E17" t="n">
        <v>4.48</v>
      </c>
      <c r="F17" t="n">
        <v>806</v>
      </c>
      <c r="G17">
        <f>ROUND(E19*F19,2)</f>
        <v/>
      </c>
      <c r="H17" t="inlineStr"/>
      <c r="I17" t="inlineStr"/>
      <c r="J17" t="inlineStr"/>
      <c r="K17" t="inlineStr"/>
      <c r="L17" t="inlineStr"/>
    </row>
    <row r="18">
      <c r="A18" t="inlineStr">
        <is>
          <t>H0502291</t>
        </is>
      </c>
      <c r="B18" t="inlineStr">
        <is>
          <t>Partida</t>
        </is>
      </c>
      <c r="C18" t="inlineStr">
        <is>
          <t>m2</t>
        </is>
      </c>
      <c r="D18" t="inlineStr">
        <is>
          <t>M.O. Encofrado columnna</t>
        </is>
      </c>
      <c r="E18" t="n">
        <v>1249.92</v>
      </c>
      <c r="F18" t="n">
        <v>806</v>
      </c>
      <c r="G18">
        <f>ROUND(E20*F20,2)</f>
        <v/>
      </c>
      <c r="H18" t="inlineStr"/>
      <c r="I18" t="inlineStr"/>
      <c r="J18" t="inlineStr"/>
      <c r="K18" t="inlineStr"/>
      <c r="L18" t="inlineStr"/>
    </row>
    <row r="19">
      <c r="A19" t="inlineStr">
        <is>
          <t>H0502291</t>
        </is>
      </c>
      <c r="B19" t="inlineStr">
        <is>
          <t>Partida</t>
        </is>
      </c>
      <c r="C19" t="inlineStr">
        <is>
          <t>m2</t>
        </is>
      </c>
      <c r="D19" t="inlineStr">
        <is>
          <t>M.O. Encofrado columnna</t>
        </is>
      </c>
      <c r="E19" t="n">
        <v>4.48</v>
      </c>
      <c r="F19" t="n">
        <v>806</v>
      </c>
      <c r="G19">
        <f>ROUND(E21*F21,2)</f>
        <v/>
      </c>
      <c r="H19" t="inlineStr"/>
      <c r="I19" t="inlineStr"/>
      <c r="J19" t="inlineStr"/>
      <c r="K19" t="inlineStr"/>
      <c r="L19" t="inlineStr"/>
    </row>
    <row r="20">
      <c r="A20" t="inlineStr">
        <is>
          <t>H0502195</t>
        </is>
      </c>
      <c r="B20" t="inlineStr">
        <is>
          <t>Partida</t>
        </is>
      </c>
      <c r="C20" t="inlineStr">
        <is>
          <t>m2</t>
        </is>
      </c>
      <c r="D20" t="inlineStr">
        <is>
          <t>M.O. Encofrado Vigas</t>
        </is>
      </c>
      <c r="E20" t="n">
        <v>3239.451800000024</v>
      </c>
      <c r="F20" t="n">
        <v>1400</v>
      </c>
      <c r="G20">
        <f>ROUND(E22*F22,2)</f>
        <v/>
      </c>
      <c r="H20" t="inlineStr"/>
      <c r="I20" t="inlineStr"/>
      <c r="J20" t="inlineStr"/>
      <c r="K20" t="inlineStr"/>
      <c r="L20" t="inlineStr"/>
    </row>
    <row r="21">
      <c r="A21" t="inlineStr">
        <is>
          <t>H0502195</t>
        </is>
      </c>
      <c r="B21" t="inlineStr">
        <is>
          <t>Partida</t>
        </is>
      </c>
      <c r="C21" t="inlineStr">
        <is>
          <t>m2</t>
        </is>
      </c>
      <c r="D21" t="inlineStr">
        <is>
          <t>M.O. Encofrado Vigas</t>
        </is>
      </c>
      <c r="E21" t="n">
        <v>86.52150000000009</v>
      </c>
      <c r="F21" t="n">
        <v>1400</v>
      </c>
      <c r="G21">
        <f>ROUND(E23*F23,2)</f>
        <v/>
      </c>
      <c r="H21" t="inlineStr"/>
      <c r="I21" t="inlineStr"/>
      <c r="J21" t="inlineStr"/>
      <c r="K21" t="inlineStr"/>
      <c r="L21" t="inlineStr"/>
    </row>
    <row r="22">
      <c r="A22" t="inlineStr">
        <is>
          <t>H0502195</t>
        </is>
      </c>
      <c r="B22" t="inlineStr">
        <is>
          <t>Partida</t>
        </is>
      </c>
      <c r="C22" t="inlineStr">
        <is>
          <t>m2</t>
        </is>
      </c>
      <c r="D22" t="inlineStr">
        <is>
          <t>M.O. Encofrado Vigas</t>
        </is>
      </c>
      <c r="E22" t="n">
        <v>1757.275000000002</v>
      </c>
      <c r="F22" t="n">
        <v>1400</v>
      </c>
      <c r="G22">
        <f>ROUND(E24*F24,2)</f>
        <v/>
      </c>
      <c r="H22" t="inlineStr"/>
      <c r="I22" t="inlineStr"/>
      <c r="J22" t="inlineStr"/>
      <c r="K22" t="inlineStr"/>
      <c r="L22" t="inlineStr"/>
    </row>
    <row r="23">
      <c r="A23" t="inlineStr"/>
      <c r="B23" t="inlineStr">
        <is>
          <t>Subtotal/Cierre de capítulo</t>
        </is>
      </c>
      <c r="C23" t="inlineStr"/>
      <c r="D23" t="inlineStr">
        <is>
          <t>Subtotal ENCOFRADOS</t>
        </is>
      </c>
      <c r="E23" t="n">
        <v>1</v>
      </c>
      <c r="F23">
        <f>SUM(G18,G19,G20,G21,G22,G23,G24)</f>
        <v/>
      </c>
      <c r="G23">
        <f>ROUND(E25*F25,2)</f>
        <v/>
      </c>
      <c r="H23" t="inlineStr"/>
      <c r="I23" t="inlineStr"/>
      <c r="J23" t="inlineStr"/>
      <c r="K23" t="inlineStr"/>
      <c r="L23" t="inlineStr"/>
    </row>
    <row r="24">
      <c r="A24" t="inlineStr"/>
      <c r="B24" t="inlineStr">
        <is>
          <t>Subtotal/Cierre de capítulo</t>
        </is>
      </c>
      <c r="C24" t="inlineStr"/>
      <c r="D24" t="inlineStr">
        <is>
          <t>Subtotal ESTRUCTURA</t>
        </is>
      </c>
      <c r="E24" t="n">
        <v>1</v>
      </c>
      <c r="F24">
        <f>SUM(G16,G25)</f>
        <v/>
      </c>
      <c r="G24">
        <f>ROUND(E26*F26,2)</f>
        <v/>
      </c>
      <c r="H24" t="inlineStr"/>
      <c r="I24" t="inlineStr"/>
      <c r="J24" t="inlineStr"/>
      <c r="K24" t="inlineStr"/>
      <c r="L24" t="inlineStr"/>
    </row>
    <row r="25">
      <c r="A25" t="inlineStr">
        <is>
          <t>DUP-CH-04</t>
        </is>
      </c>
      <c r="B25" t="inlineStr">
        <is>
          <t>Capítulo</t>
        </is>
      </c>
      <c r="C25" t="inlineStr"/>
      <c r="D25" t="inlineStr">
        <is>
          <t>IMPERMEABILIZACION</t>
        </is>
      </c>
      <c r="E25">
        <f>E32</f>
        <v/>
      </c>
      <c r="F25">
        <f>F32</f>
        <v/>
      </c>
      <c r="G25">
        <f>G32</f>
        <v/>
      </c>
      <c r="H25" t="inlineStr"/>
      <c r="I25" t="inlineStr"/>
      <c r="J25" t="inlineStr"/>
      <c r="K25" t="inlineStr"/>
      <c r="L25" t="inlineStr"/>
    </row>
    <row r="26">
      <c r="A26" t="inlineStr">
        <is>
          <t>DUP-CH-04.01</t>
        </is>
      </c>
      <c r="B26" t="inlineStr">
        <is>
          <t>Capítulo</t>
        </is>
      </c>
      <c r="C26" t="inlineStr"/>
      <c r="D26" t="inlineStr">
        <is>
          <t>TERMINACIONES HUMEDAS</t>
        </is>
      </c>
      <c r="E26">
        <f>E31</f>
        <v/>
      </c>
      <c r="F26">
        <f>F31</f>
        <v/>
      </c>
      <c r="G26">
        <f>G31</f>
        <v/>
      </c>
      <c r="H26" t="inlineStr"/>
      <c r="I26" t="inlineStr"/>
      <c r="J26" t="inlineStr"/>
      <c r="K26" t="inlineStr"/>
      <c r="L26" t="inlineStr"/>
    </row>
    <row r="27">
      <c r="A27" t="inlineStr">
        <is>
          <t>H0402200</t>
        </is>
      </c>
      <c r="B27" t="inlineStr">
        <is>
          <t>Partida</t>
        </is>
      </c>
      <c r="C27" t="inlineStr">
        <is>
          <t>m2</t>
        </is>
      </c>
      <c r="D27" t="inlineStr">
        <is>
          <t>M.O. Aplicacion Impermeabilizante</t>
        </is>
      </c>
      <c r="E27" t="n">
        <v>4</v>
      </c>
      <c r="F27" t="n">
        <v>250</v>
      </c>
      <c r="G27">
        <f>ROUND(E29*F29,2)</f>
        <v/>
      </c>
      <c r="H27" t="inlineStr"/>
      <c r="I27" t="inlineStr"/>
      <c r="J27" t="inlineStr"/>
      <c r="K27" t="inlineStr"/>
      <c r="L27" t="inlineStr"/>
    </row>
    <row r="28">
      <c r="A28" t="inlineStr">
        <is>
          <t>H0402200</t>
        </is>
      </c>
      <c r="B28" t="inlineStr">
        <is>
          <t>Partida</t>
        </is>
      </c>
      <c r="C28" t="inlineStr">
        <is>
          <t>m2</t>
        </is>
      </c>
      <c r="D28" t="inlineStr">
        <is>
          <t>M.O. Aplicacion Impermeabilizante</t>
        </is>
      </c>
      <c r="E28" t="n">
        <v>10</v>
      </c>
      <c r="F28" t="n">
        <v>250</v>
      </c>
      <c r="G28">
        <f>ROUND(E30*F30,2)</f>
        <v/>
      </c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Subtotal/Cierre de capítulo</t>
        </is>
      </c>
      <c r="C29" t="inlineStr"/>
      <c r="D29" t="inlineStr">
        <is>
          <t>Subtotal TERMINACIONES HUMEDAS</t>
        </is>
      </c>
      <c r="E29" t="n">
        <v>1</v>
      </c>
      <c r="F29">
        <f>SUM(G29,G30)</f>
        <v/>
      </c>
      <c r="G29">
        <f>ROUND(E31*F31,2)</f>
        <v/>
      </c>
      <c r="H29" t="inlineStr"/>
      <c r="I29" t="inlineStr"/>
      <c r="J29" t="inlineStr"/>
      <c r="K29" t="inlineStr"/>
      <c r="L29" t="inlineStr"/>
    </row>
    <row r="30">
      <c r="A30" t="inlineStr"/>
      <c r="B30" t="inlineStr">
        <is>
          <t>Subtotal/Cierre de capítulo</t>
        </is>
      </c>
      <c r="C30" t="inlineStr"/>
      <c r="D30" t="inlineStr">
        <is>
          <t>Subtotal IMPERMEABILIZACION</t>
        </is>
      </c>
      <c r="E30" t="n">
        <v>1</v>
      </c>
      <c r="F30">
        <f>SUM(G31)</f>
        <v/>
      </c>
      <c r="G30">
        <f>ROUND(E32*F32,2)</f>
        <v/>
      </c>
      <c r="H30" t="inlineStr"/>
      <c r="I30" t="inlineStr"/>
      <c r="J30" t="inlineStr"/>
      <c r="K30" t="inlineStr"/>
      <c r="L30" t="inlineStr"/>
    </row>
    <row r="31">
      <c r="A31" t="inlineStr">
        <is>
          <t>DUP-CH-05</t>
        </is>
      </c>
      <c r="B31" t="inlineStr">
        <is>
          <t>Capítulo</t>
        </is>
      </c>
      <c r="C31" t="inlineStr"/>
      <c r="D31" t="inlineStr">
        <is>
          <t>TERMINACIONES</t>
        </is>
      </c>
      <c r="E31">
        <f>E56</f>
        <v/>
      </c>
      <c r="F31">
        <f>F56</f>
        <v/>
      </c>
      <c r="G31">
        <f>G56</f>
        <v/>
      </c>
      <c r="H31" t="inlineStr"/>
      <c r="I31" t="inlineStr"/>
      <c r="J31" t="inlineStr"/>
      <c r="K31" t="inlineStr"/>
      <c r="L31" t="inlineStr"/>
    </row>
    <row r="32">
      <c r="A32" t="inlineStr">
        <is>
          <t>DUP-CH-05.01</t>
        </is>
      </c>
      <c r="B32" t="inlineStr">
        <is>
          <t>Capítulo</t>
        </is>
      </c>
      <c r="C32" t="inlineStr"/>
      <c r="D32" t="inlineStr">
        <is>
          <t>TERMINACION DE SUPERFICIES</t>
        </is>
      </c>
      <c r="E32">
        <f>E37</f>
        <v/>
      </c>
      <c r="F32">
        <f>F37</f>
        <v/>
      </c>
      <c r="G32">
        <f>G37</f>
        <v/>
      </c>
      <c r="H32" t="inlineStr"/>
      <c r="I32" t="inlineStr"/>
      <c r="J32" t="inlineStr"/>
      <c r="K32" t="inlineStr"/>
      <c r="L32" t="inlineStr"/>
    </row>
    <row r="33">
      <c r="A33" t="inlineStr">
        <is>
          <t>P0501101</t>
        </is>
      </c>
      <c r="B33" t="inlineStr">
        <is>
          <t>Partida</t>
        </is>
      </c>
      <c r="C33" t="inlineStr">
        <is>
          <t>m2</t>
        </is>
      </c>
      <c r="D33" t="inlineStr">
        <is>
          <t>Pañete en muros Interiores e=1.75cm</t>
        </is>
      </c>
      <c r="E33" t="n">
        <v>11683.9911999999</v>
      </c>
      <c r="F33" t="n">
        <v>544.9</v>
      </c>
      <c r="G33">
        <f>ROUND(E35*F35,2)</f>
        <v/>
      </c>
      <c r="H33" t="inlineStr"/>
      <c r="I33" t="inlineStr"/>
      <c r="J33" t="inlineStr"/>
      <c r="K33" t="inlineStr"/>
      <c r="L33" t="inlineStr"/>
    </row>
    <row r="34">
      <c r="A34" t="inlineStr">
        <is>
          <t>DUP-0004</t>
        </is>
      </c>
      <c r="B34" t="inlineStr">
        <is>
          <t>Partida</t>
        </is>
      </c>
      <c r="C34" t="inlineStr">
        <is>
          <t>m2</t>
        </is>
      </c>
      <c r="D34" t="inlineStr">
        <is>
          <t>Pintura en muros</t>
        </is>
      </c>
      <c r="E34" t="n">
        <v>11683.9911999999</v>
      </c>
      <c r="G34">
        <f>ROUND(E36*F36,2)</f>
        <v/>
      </c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Subtotal/Cierre de capítulo</t>
        </is>
      </c>
      <c r="C35" t="inlineStr"/>
      <c r="D35" t="inlineStr">
        <is>
          <t>Subtotal TERMINACION DE SUPERFICIES</t>
        </is>
      </c>
      <c r="E35" t="n">
        <v>1</v>
      </c>
      <c r="F35">
        <f>SUM(G35,G36)</f>
        <v/>
      </c>
      <c r="G35">
        <f>ROUND(E37*F37,2)</f>
        <v/>
      </c>
      <c r="H35" t="inlineStr"/>
      <c r="I35" t="inlineStr"/>
      <c r="J35" t="inlineStr"/>
      <c r="K35" t="inlineStr"/>
      <c r="L35" t="inlineStr"/>
    </row>
    <row r="36">
      <c r="A36" t="inlineStr">
        <is>
          <t>DUP-CH-05.02</t>
        </is>
      </c>
      <c r="B36" t="inlineStr">
        <is>
          <t>Capítulo</t>
        </is>
      </c>
      <c r="C36" t="inlineStr"/>
      <c r="D36" t="inlineStr">
        <is>
          <t>TERMINACION DE PISOS</t>
        </is>
      </c>
      <c r="E36">
        <f>E49</f>
        <v/>
      </c>
      <c r="F36">
        <f>F49</f>
        <v/>
      </c>
      <c r="G36">
        <f>G49</f>
        <v/>
      </c>
      <c r="H36" t="inlineStr"/>
      <c r="I36" t="inlineStr"/>
      <c r="J36" t="inlineStr"/>
      <c r="K36" t="inlineStr"/>
      <c r="L36" t="inlineStr"/>
    </row>
    <row r="37">
      <c r="A37" t="inlineStr">
        <is>
          <t>B0307025</t>
        </is>
      </c>
      <c r="B37" t="inlineStr">
        <is>
          <t>Partida</t>
        </is>
      </c>
      <c r="C37" t="inlineStr">
        <is>
          <t>m2</t>
        </is>
      </c>
      <c r="D37" t="inlineStr">
        <is>
          <t>M.O. Prep. de Superficie Colocar Pisos</t>
        </is>
      </c>
      <c r="E37" t="n">
        <v>176.75</v>
      </c>
      <c r="F37" t="n">
        <v>84.62</v>
      </c>
      <c r="G37">
        <f>ROUND(E39*F39,2)</f>
        <v/>
      </c>
      <c r="H37" t="inlineStr"/>
      <c r="I37" t="inlineStr"/>
      <c r="J37" t="inlineStr"/>
      <c r="K37" t="inlineStr"/>
      <c r="L37" t="inlineStr"/>
    </row>
    <row r="38">
      <c r="A38" t="inlineStr">
        <is>
          <t>B0307025</t>
        </is>
      </c>
      <c r="B38" t="inlineStr">
        <is>
          <t>Partida</t>
        </is>
      </c>
      <c r="C38" t="inlineStr">
        <is>
          <t>m2</t>
        </is>
      </c>
      <c r="D38" t="inlineStr">
        <is>
          <t>M.O. Prep. de Superficie Colocar Pisos</t>
        </is>
      </c>
      <c r="E38" t="n">
        <v>176.75</v>
      </c>
      <c r="F38" t="n">
        <v>84.62</v>
      </c>
      <c r="G38">
        <f>ROUND(E40*F40,2)</f>
        <v/>
      </c>
      <c r="H38" t="inlineStr"/>
      <c r="I38" t="inlineStr"/>
      <c r="J38" t="inlineStr"/>
      <c r="K38" t="inlineStr"/>
      <c r="L38" t="inlineStr"/>
    </row>
    <row r="39">
      <c r="A39" t="inlineStr">
        <is>
          <t>B0307025</t>
        </is>
      </c>
      <c r="B39" t="inlineStr">
        <is>
          <t>Partida</t>
        </is>
      </c>
      <c r="C39" t="inlineStr">
        <is>
          <t>m2</t>
        </is>
      </c>
      <c r="D39" t="inlineStr">
        <is>
          <t>M.O. Prep. de Superficie Colocar Pisos</t>
        </is>
      </c>
      <c r="E39" t="n">
        <v>176.75</v>
      </c>
      <c r="F39" t="n">
        <v>84.62</v>
      </c>
      <c r="G39">
        <f>ROUND(E41*F41,2)</f>
        <v/>
      </c>
      <c r="H39" t="inlineStr"/>
      <c r="I39" t="inlineStr"/>
      <c r="J39" t="inlineStr"/>
      <c r="K39" t="inlineStr"/>
      <c r="L39" t="inlineStr"/>
    </row>
    <row r="40">
      <c r="A40" t="inlineStr">
        <is>
          <t>B0307025</t>
        </is>
      </c>
      <c r="B40" t="inlineStr">
        <is>
          <t>Partida</t>
        </is>
      </c>
      <c r="C40" t="inlineStr">
        <is>
          <t>m2</t>
        </is>
      </c>
      <c r="D40" t="inlineStr">
        <is>
          <t>M.O. Prep. de Superficie Colocar Pisos</t>
        </is>
      </c>
      <c r="E40" t="n">
        <v>176.75</v>
      </c>
      <c r="F40" t="n">
        <v>84.62</v>
      </c>
      <c r="G40">
        <f>ROUND(E42*F42,2)</f>
        <v/>
      </c>
      <c r="H40" t="inlineStr"/>
      <c r="I40" t="inlineStr"/>
      <c r="J40" t="inlineStr"/>
      <c r="K40" t="inlineStr"/>
      <c r="L40" t="inlineStr"/>
    </row>
    <row r="41">
      <c r="A41" t="inlineStr">
        <is>
          <t>B0307025</t>
        </is>
      </c>
      <c r="B41" t="inlineStr">
        <is>
          <t>Partida</t>
        </is>
      </c>
      <c r="C41" t="inlineStr">
        <is>
          <t>m2</t>
        </is>
      </c>
      <c r="D41" t="inlineStr">
        <is>
          <t>M.O. Prep. de Superficie Colocar Pisos</t>
        </is>
      </c>
      <c r="E41" t="n">
        <v>176.75</v>
      </c>
      <c r="F41" t="n">
        <v>84.62</v>
      </c>
      <c r="G41">
        <f>ROUND(E43*F43,2)</f>
        <v/>
      </c>
      <c r="H41" t="inlineStr"/>
      <c r="I41" t="inlineStr"/>
      <c r="J41" t="inlineStr"/>
      <c r="K41" t="inlineStr"/>
      <c r="L41" t="inlineStr"/>
    </row>
    <row r="42">
      <c r="A42" t="inlineStr">
        <is>
          <t>B0307025</t>
        </is>
      </c>
      <c r="B42" t="inlineStr">
        <is>
          <t>Partida</t>
        </is>
      </c>
      <c r="C42" t="inlineStr">
        <is>
          <t>m2</t>
        </is>
      </c>
      <c r="D42" t="inlineStr">
        <is>
          <t>M.O. Prep. de Superficie Colocar Pisos</t>
        </is>
      </c>
      <c r="E42" t="n">
        <v>291.73</v>
      </c>
      <c r="F42" t="n">
        <v>84.62</v>
      </c>
      <c r="G42">
        <f>ROUND(E44*F44,2)</f>
        <v/>
      </c>
      <c r="H42" t="inlineStr"/>
      <c r="I42" t="inlineStr"/>
      <c r="J42" t="inlineStr"/>
      <c r="K42" t="inlineStr"/>
      <c r="L42" t="inlineStr"/>
    </row>
    <row r="43">
      <c r="A43" t="inlineStr">
        <is>
          <t>B0307025</t>
        </is>
      </c>
      <c r="B43" t="inlineStr">
        <is>
          <t>Partida</t>
        </is>
      </c>
      <c r="C43" t="inlineStr">
        <is>
          <t>m2</t>
        </is>
      </c>
      <c r="D43" t="inlineStr">
        <is>
          <t>M.O. Prep. de Superficie Colocar Pisos</t>
        </is>
      </c>
      <c r="E43" t="n">
        <v>176.75</v>
      </c>
      <c r="F43" t="n">
        <v>84.62</v>
      </c>
      <c r="G43">
        <f>ROUND(E45*F45,2)</f>
        <v/>
      </c>
      <c r="H43" t="inlineStr"/>
      <c r="I43" t="inlineStr"/>
      <c r="J43" t="inlineStr"/>
      <c r="K43" t="inlineStr"/>
      <c r="L43" t="inlineStr"/>
    </row>
    <row r="44">
      <c r="A44" t="inlineStr">
        <is>
          <t>B0307025</t>
        </is>
      </c>
      <c r="B44" t="inlineStr">
        <is>
          <t>Partida</t>
        </is>
      </c>
      <c r="C44" t="inlineStr">
        <is>
          <t>m2</t>
        </is>
      </c>
      <c r="D44" t="inlineStr">
        <is>
          <t>M.O. Prep. de Superficie Colocar Pisos</t>
        </is>
      </c>
      <c r="E44" t="n">
        <v>176.75</v>
      </c>
      <c r="F44" t="n">
        <v>84.62</v>
      </c>
      <c r="G44">
        <f>ROUND(E46*F46,2)</f>
        <v/>
      </c>
      <c r="H44" t="inlineStr"/>
      <c r="I44" t="inlineStr"/>
      <c r="J44" t="inlineStr"/>
      <c r="K44" t="inlineStr"/>
      <c r="L44" t="inlineStr"/>
    </row>
    <row r="45">
      <c r="A45" t="inlineStr">
        <is>
          <t>B0307025</t>
        </is>
      </c>
      <c r="B45" t="inlineStr">
        <is>
          <t>Partida</t>
        </is>
      </c>
      <c r="C45" t="inlineStr">
        <is>
          <t>m2</t>
        </is>
      </c>
      <c r="D45" t="inlineStr">
        <is>
          <t>M.O. Prep. de Superficie Colocar Pisos</t>
        </is>
      </c>
      <c r="E45" t="n">
        <v>176.75</v>
      </c>
      <c r="F45" t="n">
        <v>84.62</v>
      </c>
      <c r="G45">
        <f>ROUND(E47*F47,2)</f>
        <v/>
      </c>
      <c r="H45" t="inlineStr"/>
      <c r="I45" t="inlineStr"/>
      <c r="J45" t="inlineStr"/>
      <c r="K45" t="inlineStr"/>
      <c r="L45" t="inlineStr"/>
    </row>
    <row r="46">
      <c r="A46" t="inlineStr">
        <is>
          <t>B0307025</t>
        </is>
      </c>
      <c r="B46" t="inlineStr">
        <is>
          <t>Partida</t>
        </is>
      </c>
      <c r="C46" t="inlineStr">
        <is>
          <t>m2</t>
        </is>
      </c>
      <c r="D46" t="inlineStr">
        <is>
          <t>M.O. Prep. de Superficie Colocar Pisos</t>
        </is>
      </c>
      <c r="E46" t="n">
        <v>176.75</v>
      </c>
      <c r="F46" t="n">
        <v>84.62</v>
      </c>
      <c r="G46">
        <f>ROUND(E48*F48,2)</f>
        <v/>
      </c>
      <c r="H46" t="inlineStr"/>
      <c r="I46" t="inlineStr"/>
      <c r="J46" t="inlineStr"/>
      <c r="K46" t="inlineStr"/>
      <c r="L46" t="inlineStr"/>
    </row>
    <row r="47">
      <c r="A47" t="inlineStr"/>
      <c r="B47" t="inlineStr">
        <is>
          <t>Subtotal/Cierre de capítulo</t>
        </is>
      </c>
      <c r="C47" t="inlineStr"/>
      <c r="D47" t="inlineStr">
        <is>
          <t>Subtotal TERMINACION DE PISOS</t>
        </is>
      </c>
      <c r="E47" t="n">
        <v>1</v>
      </c>
      <c r="F47">
        <f>SUM(G39,G40,G41,G42,G43,G44,G45,G46,G47,G48)</f>
        <v/>
      </c>
      <c r="G47">
        <f>ROUND(E49*F49,2)</f>
        <v/>
      </c>
      <c r="H47" t="inlineStr"/>
      <c r="I47" t="inlineStr"/>
      <c r="J47" t="inlineStr"/>
      <c r="K47" t="inlineStr"/>
      <c r="L47" t="inlineStr"/>
    </row>
    <row r="48">
      <c r="A48" t="inlineStr">
        <is>
          <t>DUP-CH-05.04</t>
        </is>
      </c>
      <c r="B48" t="inlineStr">
        <is>
          <t>Capítulo</t>
        </is>
      </c>
      <c r="C48" t="inlineStr"/>
      <c r="D48" t="inlineStr">
        <is>
          <t>TERMINACIONES HUMEDAS</t>
        </is>
      </c>
      <c r="E48">
        <f>E52</f>
        <v/>
      </c>
      <c r="F48">
        <f>F52</f>
        <v/>
      </c>
      <c r="G48">
        <f>G52</f>
        <v/>
      </c>
      <c r="H48" t="inlineStr"/>
      <c r="I48" t="inlineStr"/>
      <c r="J48" t="inlineStr"/>
      <c r="K48" t="inlineStr"/>
      <c r="L48" t="inlineStr"/>
    </row>
    <row r="49">
      <c r="A49" t="inlineStr">
        <is>
          <t>M1602008</t>
        </is>
      </c>
      <c r="B49" t="inlineStr">
        <is>
          <t>Partida</t>
        </is>
      </c>
      <c r="C49" t="inlineStr">
        <is>
          <t>m2</t>
        </is>
      </c>
      <c r="D49" t="inlineStr">
        <is>
          <t>Cerámica 0.30x0.60m +10% desp</t>
        </is>
      </c>
      <c r="E49" t="n">
        <v>10</v>
      </c>
      <c r="F49" t="n">
        <v>1500</v>
      </c>
      <c r="G49">
        <f>ROUND(E51*F51,2)</f>
        <v/>
      </c>
      <c r="H49" t="inlineStr"/>
      <c r="I49" t="inlineStr"/>
      <c r="J49" t="inlineStr"/>
      <c r="K49" t="inlineStr"/>
      <c r="L49" t="inlineStr"/>
    </row>
    <row r="50">
      <c r="A50" t="inlineStr"/>
      <c r="B50" t="inlineStr">
        <is>
          <t>Subtotal/Cierre de capítulo</t>
        </is>
      </c>
      <c r="C50" t="inlineStr"/>
      <c r="D50" t="inlineStr">
        <is>
          <t>Subtotal TERMINACIONES HUMEDAS</t>
        </is>
      </c>
      <c r="E50" t="n">
        <v>1</v>
      </c>
      <c r="F50">
        <f>SUM(G51)</f>
        <v/>
      </c>
      <c r="G50">
        <f>ROUND(E52*F52,2)</f>
        <v/>
      </c>
      <c r="H50" t="inlineStr"/>
      <c r="I50" t="inlineStr"/>
      <c r="J50" t="inlineStr"/>
      <c r="K50" t="inlineStr"/>
      <c r="L50" t="inlineStr"/>
    </row>
    <row r="51">
      <c r="A51" t="inlineStr">
        <is>
          <t>DUP-CH-05.06</t>
        </is>
      </c>
      <c r="B51" t="inlineStr">
        <is>
          <t>Capítulo</t>
        </is>
      </c>
      <c r="C51" t="inlineStr"/>
      <c r="D51" t="inlineStr">
        <is>
          <t>ESCALERAS</t>
        </is>
      </c>
      <c r="E51">
        <f>E55</f>
        <v/>
      </c>
      <c r="F51">
        <f>F55</f>
        <v/>
      </c>
      <c r="G51">
        <f>G55</f>
        <v/>
      </c>
      <c r="H51" t="inlineStr"/>
      <c r="I51" t="inlineStr"/>
      <c r="J51" t="inlineStr"/>
      <c r="K51" t="inlineStr"/>
      <c r="L51" t="inlineStr"/>
    </row>
    <row r="52">
      <c r="A52" t="inlineStr">
        <is>
          <t>P1201101</t>
        </is>
      </c>
      <c r="B52" t="inlineStr">
        <is>
          <t>Partida</t>
        </is>
      </c>
      <c r="C52" t="inlineStr">
        <is>
          <t>unit</t>
        </is>
      </c>
      <c r="D52" t="inlineStr">
        <is>
          <t>Escalones en escalera incluye zocalos</t>
        </is>
      </c>
      <c r="E52" t="n">
        <v>1</v>
      </c>
      <c r="F52" t="n">
        <v>3901.09</v>
      </c>
      <c r="G52">
        <f>ROUND(E54*F54,2)</f>
        <v/>
      </c>
      <c r="H52" t="inlineStr"/>
      <c r="I52" t="inlineStr"/>
      <c r="J52" t="inlineStr"/>
      <c r="K52" t="inlineStr"/>
      <c r="L52" t="inlineStr"/>
    </row>
    <row r="53">
      <c r="A53" t="inlineStr"/>
      <c r="B53" t="inlineStr">
        <is>
          <t>Subtotal/Cierre de capítulo</t>
        </is>
      </c>
      <c r="C53" t="inlineStr"/>
      <c r="D53" t="inlineStr">
        <is>
          <t>Subtotal ESCALERAS</t>
        </is>
      </c>
      <c r="E53" t="n">
        <v>1</v>
      </c>
      <c r="F53">
        <f>SUM(G54)</f>
        <v/>
      </c>
      <c r="G53">
        <f>ROUND(E55*F55,2)</f>
        <v/>
      </c>
      <c r="H53" t="inlineStr"/>
      <c r="I53" t="inlineStr"/>
      <c r="J53" t="inlineStr"/>
      <c r="K53" t="inlineStr"/>
      <c r="L53" t="inlineStr"/>
    </row>
    <row r="54">
      <c r="A54" t="inlineStr"/>
      <c r="B54" t="inlineStr">
        <is>
          <t>Subtotal/Cierre de capítulo</t>
        </is>
      </c>
      <c r="C54" t="inlineStr"/>
      <c r="D54" t="inlineStr">
        <is>
          <t>Subtotal TERMINACIONES</t>
        </is>
      </c>
      <c r="E54" t="n">
        <v>1</v>
      </c>
      <c r="F54">
        <f>SUM(G37,G49,G52,G55)</f>
        <v/>
      </c>
      <c r="G54">
        <f>ROUND(E56*F56,2)</f>
        <v/>
      </c>
      <c r="H54" t="inlineStr"/>
      <c r="I54" t="inlineStr"/>
      <c r="J54" t="inlineStr"/>
      <c r="K54" t="inlineStr"/>
      <c r="L54" t="inlineStr"/>
    </row>
    <row r="55">
      <c r="A55" t="inlineStr">
        <is>
          <t>DUP-CH-06</t>
        </is>
      </c>
      <c r="B55" t="inlineStr">
        <is>
          <t>Capítulo</t>
        </is>
      </c>
      <c r="C55" t="inlineStr"/>
      <c r="D55" t="inlineStr">
        <is>
          <t>CARPINTERIAS</t>
        </is>
      </c>
      <c r="E55">
        <f>E78</f>
        <v/>
      </c>
      <c r="F55">
        <f>F78</f>
        <v/>
      </c>
      <c r="G55">
        <f>G78</f>
        <v/>
      </c>
      <c r="H55" t="inlineStr"/>
      <c r="I55" t="inlineStr"/>
      <c r="J55" t="inlineStr"/>
      <c r="K55" t="inlineStr"/>
      <c r="L55" t="inlineStr"/>
    </row>
    <row r="56">
      <c r="A56" t="inlineStr">
        <is>
          <t>DUP-CH-06.01</t>
        </is>
      </c>
      <c r="B56" t="inlineStr">
        <is>
          <t>Capítulo</t>
        </is>
      </c>
      <c r="C56" t="inlineStr"/>
      <c r="D56" t="inlineStr">
        <is>
          <t>PUERTAS</t>
        </is>
      </c>
      <c r="E56">
        <f>E69</f>
        <v/>
      </c>
      <c r="F56">
        <f>F69</f>
        <v/>
      </c>
      <c r="G56">
        <f>G69</f>
        <v/>
      </c>
      <c r="H56" t="inlineStr"/>
      <c r="I56" t="inlineStr"/>
      <c r="J56" t="inlineStr"/>
      <c r="K56" t="inlineStr"/>
      <c r="L56" t="inlineStr"/>
    </row>
    <row r="57">
      <c r="A57" t="inlineStr">
        <is>
          <t>M0811170</t>
        </is>
      </c>
      <c r="B57" t="inlineStr">
        <is>
          <t>Partida</t>
        </is>
      </c>
      <c r="C57" t="inlineStr">
        <is>
          <t>unit</t>
        </is>
      </c>
      <c r="D57" t="inlineStr">
        <is>
          <t>Llavín Stanley para puertas</t>
        </is>
      </c>
      <c r="E57" t="n">
        <v>35</v>
      </c>
      <c r="F57" t="n">
        <v>1750</v>
      </c>
      <c r="G57">
        <f>ROUND(E59*F59,2)</f>
        <v/>
      </c>
      <c r="H57" t="inlineStr"/>
      <c r="I57" t="inlineStr"/>
      <c r="J57" t="inlineStr"/>
      <c r="K57" t="inlineStr"/>
      <c r="L57" t="inlineStr"/>
    </row>
    <row r="58">
      <c r="A58" t="inlineStr">
        <is>
          <t>M0811170</t>
        </is>
      </c>
      <c r="B58" t="inlineStr">
        <is>
          <t>Partida</t>
        </is>
      </c>
      <c r="C58" t="inlineStr">
        <is>
          <t>unit</t>
        </is>
      </c>
      <c r="D58" t="inlineStr">
        <is>
          <t>Llavín Stanley para puertas</t>
        </is>
      </c>
      <c r="E58" t="n">
        <v>35</v>
      </c>
      <c r="F58" t="n">
        <v>1750</v>
      </c>
      <c r="G58">
        <f>ROUND(E60*F60,2)</f>
        <v/>
      </c>
      <c r="H58" t="inlineStr"/>
      <c r="I58" t="inlineStr"/>
      <c r="J58" t="inlineStr"/>
      <c r="K58" t="inlineStr"/>
      <c r="L58" t="inlineStr"/>
    </row>
    <row r="59">
      <c r="A59" t="inlineStr">
        <is>
          <t>M0811170</t>
        </is>
      </c>
      <c r="B59" t="inlineStr">
        <is>
          <t>Partida</t>
        </is>
      </c>
      <c r="C59" t="inlineStr">
        <is>
          <t>unit</t>
        </is>
      </c>
      <c r="D59" t="inlineStr">
        <is>
          <t>Llavín Stanley para puertas</t>
        </is>
      </c>
      <c r="E59" t="n">
        <v>133</v>
      </c>
      <c r="F59" t="n">
        <v>1750</v>
      </c>
      <c r="G59">
        <f>ROUND(E61*F61,2)</f>
        <v/>
      </c>
      <c r="H59" t="inlineStr"/>
      <c r="I59" t="inlineStr"/>
      <c r="J59" t="inlineStr"/>
      <c r="K59" t="inlineStr"/>
      <c r="L59" t="inlineStr"/>
    </row>
    <row r="60">
      <c r="A60" t="inlineStr">
        <is>
          <t>M0811170</t>
        </is>
      </c>
      <c r="B60" t="inlineStr">
        <is>
          <t>Partida</t>
        </is>
      </c>
      <c r="C60" t="inlineStr">
        <is>
          <t>unit</t>
        </is>
      </c>
      <c r="D60" t="inlineStr">
        <is>
          <t>Llavín Stanley para puertas</t>
        </is>
      </c>
      <c r="E60" t="n">
        <v>5</v>
      </c>
      <c r="F60" t="n">
        <v>1750</v>
      </c>
      <c r="G60">
        <f>ROUND(E62*F62,2)</f>
        <v/>
      </c>
      <c r="H60" t="inlineStr"/>
      <c r="I60" t="inlineStr"/>
      <c r="J60" t="inlineStr"/>
      <c r="K60" t="inlineStr"/>
      <c r="L60" t="inlineStr"/>
    </row>
    <row r="61">
      <c r="A61" t="inlineStr">
        <is>
          <t>M0811170</t>
        </is>
      </c>
      <c r="B61" t="inlineStr">
        <is>
          <t>Partida</t>
        </is>
      </c>
      <c r="C61" t="inlineStr">
        <is>
          <t>unit</t>
        </is>
      </c>
      <c r="D61" t="inlineStr">
        <is>
          <t>Llavín Stanley para puertas</t>
        </is>
      </c>
      <c r="E61" t="n">
        <v>2</v>
      </c>
      <c r="F61" t="n">
        <v>1750</v>
      </c>
      <c r="G61">
        <f>ROUND(E63*F63,2)</f>
        <v/>
      </c>
      <c r="H61" t="inlineStr"/>
      <c r="I61" t="inlineStr"/>
      <c r="J61" t="inlineStr"/>
      <c r="K61" t="inlineStr"/>
      <c r="L61" t="inlineStr"/>
    </row>
    <row r="62">
      <c r="A62" t="inlineStr">
        <is>
          <t>P1501051</t>
        </is>
      </c>
      <c r="B62" t="inlineStr">
        <is>
          <t>Partida</t>
        </is>
      </c>
      <c r="C62" t="inlineStr">
        <is>
          <t>unit</t>
        </is>
      </c>
      <c r="D62" t="inlineStr">
        <is>
          <t>Puerta Madera Andiroba, 0.80-0.90m x 2.10m Interior</t>
        </is>
      </c>
      <c r="E62" t="n">
        <v>35</v>
      </c>
      <c r="F62" t="n">
        <v>33915</v>
      </c>
      <c r="G62">
        <f>ROUND(E64*F64,2)</f>
        <v/>
      </c>
      <c r="H62" t="inlineStr"/>
      <c r="I62" t="inlineStr"/>
      <c r="J62" t="inlineStr"/>
      <c r="K62" t="inlineStr"/>
      <c r="L62" t="inlineStr"/>
    </row>
    <row r="63">
      <c r="A63" t="inlineStr">
        <is>
          <t>P1501051</t>
        </is>
      </c>
      <c r="B63" t="inlineStr">
        <is>
          <t>Partida</t>
        </is>
      </c>
      <c r="C63" t="inlineStr">
        <is>
          <t>unit</t>
        </is>
      </c>
      <c r="D63" t="inlineStr">
        <is>
          <t>Puerta Madera Andiroba, 0.80-0.90m x 2.10m Interior</t>
        </is>
      </c>
      <c r="E63" t="n">
        <v>35</v>
      </c>
      <c r="F63" t="n">
        <v>33915</v>
      </c>
      <c r="G63">
        <f>ROUND(E65*F65,2)</f>
        <v/>
      </c>
      <c r="H63" t="inlineStr"/>
      <c r="I63" t="inlineStr"/>
      <c r="J63" t="inlineStr"/>
      <c r="K63" t="inlineStr"/>
      <c r="L63" t="inlineStr"/>
    </row>
    <row r="64">
      <c r="A64" t="inlineStr">
        <is>
          <t>P1501051</t>
        </is>
      </c>
      <c r="B64" t="inlineStr">
        <is>
          <t>Partida</t>
        </is>
      </c>
      <c r="C64" t="inlineStr">
        <is>
          <t>unit</t>
        </is>
      </c>
      <c r="D64" t="inlineStr">
        <is>
          <t>Puerta Madera Andiroba, 0.80-0.90m x 2.10m Interior</t>
        </is>
      </c>
      <c r="E64" t="n">
        <v>5</v>
      </c>
      <c r="F64" t="n">
        <v>33915</v>
      </c>
      <c r="G64">
        <f>ROUND(E66*F66,2)</f>
        <v/>
      </c>
      <c r="H64" t="inlineStr"/>
      <c r="I64" t="inlineStr"/>
      <c r="J64" t="inlineStr"/>
      <c r="K64" t="inlineStr"/>
      <c r="L64" t="inlineStr"/>
    </row>
    <row r="65">
      <c r="A65" t="inlineStr">
        <is>
          <t>P1501051</t>
        </is>
      </c>
      <c r="B65" t="inlineStr">
        <is>
          <t>Partida</t>
        </is>
      </c>
      <c r="C65" t="inlineStr">
        <is>
          <t>unit</t>
        </is>
      </c>
      <c r="D65" t="inlineStr">
        <is>
          <t>Puerta Madera Andiroba, 0.80-0.90m x 2.10m Interior</t>
        </is>
      </c>
      <c r="E65" t="n">
        <v>2</v>
      </c>
      <c r="F65" t="n">
        <v>33915</v>
      </c>
      <c r="G65">
        <f>ROUND(E67*F67,2)</f>
        <v/>
      </c>
      <c r="H65" t="inlineStr"/>
      <c r="I65" t="inlineStr"/>
      <c r="J65" t="inlineStr"/>
      <c r="K65" t="inlineStr"/>
      <c r="L65" t="inlineStr"/>
    </row>
    <row r="66">
      <c r="A66" t="inlineStr">
        <is>
          <t>P1501050</t>
        </is>
      </c>
      <c r="B66" t="inlineStr">
        <is>
          <t>Partida</t>
        </is>
      </c>
      <c r="C66" t="inlineStr">
        <is>
          <t>unit</t>
        </is>
      </c>
      <c r="D66" t="inlineStr">
        <is>
          <t>Puerta Madera Roble, 1.00m x 2.10m Principal</t>
        </is>
      </c>
      <c r="E66" t="n">
        <v>133</v>
      </c>
      <c r="F66" t="n">
        <v>44982</v>
      </c>
      <c r="G66">
        <f>ROUND(E68*F68,2)</f>
        <v/>
      </c>
      <c r="H66" t="inlineStr"/>
      <c r="I66" t="inlineStr"/>
      <c r="J66" t="inlineStr"/>
      <c r="K66" t="inlineStr"/>
      <c r="L66" t="inlineStr"/>
    </row>
    <row r="67">
      <c r="A67" t="inlineStr"/>
      <c r="B67" t="inlineStr">
        <is>
          <t>Subtotal/Cierre de capítulo</t>
        </is>
      </c>
      <c r="C67" t="inlineStr"/>
      <c r="D67" t="inlineStr">
        <is>
          <t>Subtotal PUERTAS</t>
        </is>
      </c>
      <c r="E67" t="n">
        <v>1</v>
      </c>
      <c r="F67">
        <f>SUM(G59,G60,G61,G62,G63,G64,G65,G66,G67,G68)</f>
        <v/>
      </c>
      <c r="G67">
        <f>ROUND(E69*F69,2)</f>
        <v/>
      </c>
      <c r="H67" t="inlineStr"/>
      <c r="I67" t="inlineStr"/>
      <c r="J67" t="inlineStr"/>
      <c r="K67" t="inlineStr"/>
      <c r="L67" t="inlineStr"/>
    </row>
    <row r="68">
      <c r="A68" t="inlineStr">
        <is>
          <t>DUP-CH-06.02</t>
        </is>
      </c>
      <c r="B68" t="inlineStr">
        <is>
          <t>Capítulo</t>
        </is>
      </c>
      <c r="C68" t="inlineStr"/>
      <c r="D68" t="inlineStr">
        <is>
          <t>VENTANAS</t>
        </is>
      </c>
      <c r="E68">
        <f>E77</f>
        <v/>
      </c>
      <c r="F68">
        <f>F77</f>
        <v/>
      </c>
      <c r="G68">
        <f>G77</f>
        <v/>
      </c>
      <c r="H68" t="inlineStr"/>
      <c r="I68" t="inlineStr"/>
      <c r="J68" t="inlineStr"/>
      <c r="K68" t="inlineStr"/>
      <c r="L68" t="inlineStr"/>
    </row>
    <row r="69">
      <c r="A69" t="inlineStr">
        <is>
          <t>P1601045</t>
        </is>
      </c>
      <c r="B69" t="inlineStr">
        <is>
          <t>Partida</t>
        </is>
      </c>
      <c r="C69" t="inlineStr">
        <is>
          <t>unit</t>
        </is>
      </c>
      <c r="D69" t="inlineStr">
        <is>
          <t>Ventanas Corredera Aluminio y Vidrio</t>
        </is>
      </c>
      <c r="E69" t="n">
        <v>5</v>
      </c>
      <c r="F69" t="n">
        <v>560</v>
      </c>
      <c r="G69">
        <f>ROUND(E71*F71,2)</f>
        <v/>
      </c>
      <c r="H69" t="inlineStr"/>
      <c r="I69" t="inlineStr"/>
      <c r="J69" t="inlineStr"/>
      <c r="K69" t="inlineStr"/>
      <c r="L69" t="inlineStr"/>
    </row>
    <row r="70">
      <c r="A70" t="inlineStr">
        <is>
          <t>P1601045</t>
        </is>
      </c>
      <c r="B70" t="inlineStr">
        <is>
          <t>Partida</t>
        </is>
      </c>
      <c r="C70" t="inlineStr">
        <is>
          <t>unit</t>
        </is>
      </c>
      <c r="D70" t="inlineStr">
        <is>
          <t>Ventanas Corredera Aluminio y Vidrio</t>
        </is>
      </c>
      <c r="E70" t="n">
        <v>39</v>
      </c>
      <c r="F70" t="n">
        <v>560</v>
      </c>
      <c r="G70">
        <f>ROUND(E72*F72,2)</f>
        <v/>
      </c>
      <c r="H70" t="inlineStr"/>
      <c r="I70" t="inlineStr"/>
      <c r="J70" t="inlineStr"/>
      <c r="K70" t="inlineStr"/>
      <c r="L70" t="inlineStr"/>
    </row>
    <row r="71">
      <c r="A71" t="inlineStr">
        <is>
          <t>P1601045</t>
        </is>
      </c>
      <c r="B71" t="inlineStr">
        <is>
          <t>Partida</t>
        </is>
      </c>
      <c r="C71" t="inlineStr">
        <is>
          <t>unit</t>
        </is>
      </c>
      <c r="D71" t="inlineStr">
        <is>
          <t>Ventanas Corredera Aluminio y Vidrio</t>
        </is>
      </c>
      <c r="E71" t="n">
        <v>5</v>
      </c>
      <c r="F71" t="n">
        <v>560</v>
      </c>
      <c r="G71">
        <f>ROUND(E73*F73,2)</f>
        <v/>
      </c>
      <c r="H71" t="inlineStr"/>
      <c r="I71" t="inlineStr"/>
      <c r="J71" t="inlineStr"/>
      <c r="K71" t="inlineStr"/>
      <c r="L71" t="inlineStr"/>
    </row>
    <row r="72">
      <c r="A72" t="inlineStr">
        <is>
          <t>P1601045</t>
        </is>
      </c>
      <c r="B72" t="inlineStr">
        <is>
          <t>Partida</t>
        </is>
      </c>
      <c r="C72" t="inlineStr">
        <is>
          <t>unit</t>
        </is>
      </c>
      <c r="D72" t="inlineStr">
        <is>
          <t>Ventanas Corredera Aluminio y Vidrio</t>
        </is>
      </c>
      <c r="E72" t="n">
        <v>19</v>
      </c>
      <c r="F72" t="n">
        <v>560</v>
      </c>
      <c r="G72">
        <f>ROUND(E74*F74,2)</f>
        <v/>
      </c>
      <c r="H72" t="inlineStr"/>
      <c r="I72" t="inlineStr"/>
      <c r="J72" t="inlineStr"/>
      <c r="K72" t="inlineStr"/>
      <c r="L72" t="inlineStr"/>
    </row>
    <row r="73">
      <c r="A73" t="inlineStr">
        <is>
          <t>P1601045</t>
        </is>
      </c>
      <c r="B73" t="inlineStr">
        <is>
          <t>Partida</t>
        </is>
      </c>
      <c r="C73" t="inlineStr">
        <is>
          <t>unit</t>
        </is>
      </c>
      <c r="D73" t="inlineStr">
        <is>
          <t>Ventanas Corredera Aluminio y Vidrio</t>
        </is>
      </c>
      <c r="E73" t="n">
        <v>4</v>
      </c>
      <c r="F73" t="n">
        <v>560</v>
      </c>
      <c r="G73">
        <f>ROUND(E75*F75,2)</f>
        <v/>
      </c>
      <c r="H73" t="inlineStr"/>
      <c r="I73" t="inlineStr"/>
      <c r="J73" t="inlineStr"/>
      <c r="K73" t="inlineStr"/>
      <c r="L73" t="inlineStr"/>
    </row>
    <row r="74">
      <c r="A74" t="inlineStr">
        <is>
          <t>P1601045</t>
        </is>
      </c>
      <c r="B74" t="inlineStr">
        <is>
          <t>Partida</t>
        </is>
      </c>
      <c r="C74" t="inlineStr">
        <is>
          <t>unit</t>
        </is>
      </c>
      <c r="D74" t="inlineStr">
        <is>
          <t>Ventanas Corredera Aluminio y Vidrio</t>
        </is>
      </c>
      <c r="E74" t="n">
        <v>4</v>
      </c>
      <c r="F74" t="n">
        <v>560</v>
      </c>
      <c r="G74">
        <f>ROUND(E76*F76,2)</f>
        <v/>
      </c>
      <c r="H74" t="inlineStr"/>
      <c r="I74" t="inlineStr"/>
      <c r="J74" t="inlineStr"/>
      <c r="K74" t="inlineStr"/>
      <c r="L74" t="inlineStr"/>
    </row>
    <row r="75">
      <c r="A75" t="inlineStr"/>
      <c r="B75" t="inlineStr">
        <is>
          <t>Subtotal/Cierre de capítulo</t>
        </is>
      </c>
      <c r="C75" t="inlineStr"/>
      <c r="D75" t="inlineStr">
        <is>
          <t>Subtotal VENTANAS</t>
        </is>
      </c>
      <c r="E75" t="n">
        <v>1</v>
      </c>
      <c r="F75">
        <f>SUM(G71,G72,G73,G74,G75,G76)</f>
        <v/>
      </c>
      <c r="G75">
        <f>ROUND(E77*F77,2)</f>
        <v/>
      </c>
      <c r="H75" t="inlineStr"/>
      <c r="I75" t="inlineStr"/>
      <c r="J75" t="inlineStr"/>
      <c r="K75" t="inlineStr"/>
      <c r="L75" t="inlineStr"/>
    </row>
    <row r="76">
      <c r="A76" t="inlineStr"/>
      <c r="B76" t="inlineStr">
        <is>
          <t>Subtotal/Cierre de capítulo</t>
        </is>
      </c>
      <c r="C76" t="inlineStr"/>
      <c r="D76" t="inlineStr">
        <is>
          <t>Subtotal CARPINTERIAS</t>
        </is>
      </c>
      <c r="E76" t="n">
        <v>1</v>
      </c>
      <c r="F76">
        <f>SUM(G69,G77)</f>
        <v/>
      </c>
      <c r="G76">
        <f>ROUND(E78*F78,2)</f>
        <v/>
      </c>
      <c r="H76" t="inlineStr"/>
      <c r="I76" t="inlineStr"/>
      <c r="J76" t="inlineStr"/>
      <c r="K76" t="inlineStr"/>
      <c r="L76" t="inlineStr"/>
    </row>
    <row r="77">
      <c r="A77" t="inlineStr">
        <is>
          <t>DUP-CH-08</t>
        </is>
      </c>
      <c r="B77" t="inlineStr">
        <is>
          <t>Capítulo</t>
        </is>
      </c>
      <c r="C77" t="inlineStr"/>
      <c r="D77" t="inlineStr">
        <is>
          <t>INSTALACIONES</t>
        </is>
      </c>
      <c r="E77">
        <f>E86</f>
        <v/>
      </c>
      <c r="F77">
        <f>F86</f>
        <v/>
      </c>
      <c r="G77">
        <f>G86</f>
        <v/>
      </c>
      <c r="H77" t="inlineStr"/>
      <c r="I77" t="inlineStr"/>
      <c r="J77" t="inlineStr"/>
      <c r="K77" t="inlineStr"/>
      <c r="L77" t="inlineStr"/>
    </row>
    <row r="78">
      <c r="A78" t="inlineStr">
        <is>
          <t>DUP-CH-08.01</t>
        </is>
      </c>
      <c r="B78" t="inlineStr">
        <is>
          <t>Capítulo</t>
        </is>
      </c>
      <c r="C78" t="inlineStr"/>
      <c r="D78" t="inlineStr">
        <is>
          <t>ELECTRICAS</t>
        </is>
      </c>
      <c r="E78">
        <f>E85</f>
        <v/>
      </c>
      <c r="F78">
        <f>F85</f>
        <v/>
      </c>
      <c r="G78">
        <f>G85</f>
        <v/>
      </c>
      <c r="H78" t="inlineStr"/>
      <c r="I78" t="inlineStr"/>
      <c r="J78" t="inlineStr"/>
      <c r="K78" t="inlineStr"/>
      <c r="L78" t="inlineStr"/>
    </row>
    <row r="79">
      <c r="A79" t="inlineStr">
        <is>
          <t>M2400020</t>
        </is>
      </c>
      <c r="B79" t="inlineStr">
        <is>
          <t>Partida</t>
        </is>
      </c>
      <c r="C79" t="inlineStr">
        <is>
          <t>unit</t>
        </is>
      </c>
      <c r="D79" t="inlineStr">
        <is>
          <t>Lampara</t>
        </is>
      </c>
      <c r="E79" t="n">
        <v>44</v>
      </c>
      <c r="F79" t="n">
        <v>5500</v>
      </c>
      <c r="G79">
        <f>ROUND(E81*F81,2)</f>
        <v/>
      </c>
      <c r="H79" t="inlineStr"/>
      <c r="I79" t="inlineStr"/>
      <c r="J79" t="inlineStr"/>
      <c r="K79" t="inlineStr"/>
      <c r="L79" t="inlineStr"/>
    </row>
    <row r="80">
      <c r="A80" t="inlineStr">
        <is>
          <t>M302205</t>
        </is>
      </c>
      <c r="B80" t="inlineStr">
        <is>
          <t>Partida</t>
        </is>
      </c>
      <c r="C80" t="inlineStr">
        <is>
          <t>unit</t>
        </is>
      </c>
      <c r="D80" t="inlineStr">
        <is>
          <t>Luminaria 120V, 60 Hz</t>
        </is>
      </c>
      <c r="E80" t="n">
        <v>2</v>
      </c>
      <c r="F80" t="n">
        <v>590</v>
      </c>
      <c r="G80">
        <f>ROUND(E82*F82,2)</f>
        <v/>
      </c>
      <c r="H80" t="inlineStr"/>
      <c r="I80" t="inlineStr"/>
      <c r="J80" t="inlineStr"/>
      <c r="K80" t="inlineStr"/>
      <c r="L80" t="inlineStr"/>
    </row>
    <row r="81">
      <c r="A81" t="inlineStr">
        <is>
          <t>A.0302</t>
        </is>
      </c>
      <c r="B81" t="inlineStr">
        <is>
          <t>Partida</t>
        </is>
      </c>
      <c r="C81" t="inlineStr">
        <is>
          <t>unit</t>
        </is>
      </c>
      <c r="D81" t="inlineStr">
        <is>
          <t>Luminaria 120V, 60Hz</t>
        </is>
      </c>
      <c r="E81" t="n">
        <v>3</v>
      </c>
      <c r="F81" t="n">
        <v>708</v>
      </c>
      <c r="G81">
        <f>ROUND(E83*F83,2)</f>
        <v/>
      </c>
      <c r="H81" t="inlineStr"/>
      <c r="I81" t="inlineStr"/>
      <c r="J81" t="inlineStr"/>
      <c r="K81" t="inlineStr"/>
      <c r="L81" t="inlineStr"/>
    </row>
    <row r="82">
      <c r="A82" t="inlineStr">
        <is>
          <t>A.0304</t>
        </is>
      </c>
      <c r="B82" t="inlineStr">
        <is>
          <t>Partida</t>
        </is>
      </c>
      <c r="C82" t="inlineStr">
        <is>
          <t>unit</t>
        </is>
      </c>
      <c r="D82" t="inlineStr">
        <is>
          <t>Luminaria de emergencia 120V, 60Hz</t>
        </is>
      </c>
      <c r="E82" t="n">
        <v>2</v>
      </c>
      <c r="F82" t="n">
        <v>1840.8</v>
      </c>
      <c r="G82">
        <f>ROUND(E84*F84,2)</f>
        <v/>
      </c>
      <c r="H82" t="inlineStr"/>
      <c r="I82" t="inlineStr"/>
      <c r="J82" t="inlineStr"/>
      <c r="K82" t="inlineStr"/>
      <c r="L82" t="inlineStr"/>
    </row>
    <row r="83">
      <c r="A83" t="inlineStr"/>
      <c r="B83" t="inlineStr">
        <is>
          <t>Subtotal/Cierre de capítulo</t>
        </is>
      </c>
      <c r="C83" t="inlineStr"/>
      <c r="D83" t="inlineStr">
        <is>
          <t>Subtotal ELECTRICAS</t>
        </is>
      </c>
      <c r="E83" t="n">
        <v>1</v>
      </c>
      <c r="F83">
        <f>SUM(G81,G82,G83,G84)</f>
        <v/>
      </c>
      <c r="G83">
        <f>ROUND(E85*F85,2)</f>
        <v/>
      </c>
      <c r="H83" t="inlineStr"/>
      <c r="I83" t="inlineStr"/>
      <c r="J83" t="inlineStr"/>
      <c r="K83" t="inlineStr"/>
      <c r="L83" t="inlineStr"/>
    </row>
    <row r="84">
      <c r="A84" t="inlineStr"/>
      <c r="B84" t="inlineStr">
        <is>
          <t>Subtotal/Cierre de capítulo</t>
        </is>
      </c>
      <c r="C84" t="inlineStr"/>
      <c r="D84" t="inlineStr">
        <is>
          <t>Subtotal INSTALACIONES</t>
        </is>
      </c>
      <c r="E84" t="n">
        <v>1</v>
      </c>
      <c r="F84">
        <f>SUM(G85)</f>
        <v/>
      </c>
      <c r="G84">
        <f>ROUND(E86*F86,2)</f>
        <v/>
      </c>
      <c r="H84" t="inlineStr"/>
      <c r="I84" t="inlineStr"/>
      <c r="J84" t="inlineStr"/>
      <c r="K84" t="inlineStr"/>
      <c r="L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2026-04-08T00:51:07Z</dcterms:created>
  <dcterms:modified xsi:type="dcterms:W3CDTF">2026-04-08T00:51:07Z</dcterms:modified>
</cp:coreProperties>
</file>