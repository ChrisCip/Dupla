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nrique Casanova\Dupla\output\prueba_web_01\run_2026-04-07_193645\salida_pdf_gpt\"/>
    </mc:Choice>
  </mc:AlternateContent>
  <xr:revisionPtr revIDLastSave="0" documentId="11_3675A9ECD6A02477C7976790545ED87656CD9607" xr6:coauthVersionLast="47" xr6:coauthVersionMax="47" xr10:uidLastSave="{00000000-0000-0000-0000-000000000000}"/>
  <bookViews>
    <workbookView xWindow="2124" yWindow="2808" windowWidth="17280" windowHeight="9960" xr2:uid="{00000000-000D-0000-FFFF-FFFF00000000}"/>
  </bookViews>
  <sheets>
    <sheet name="Presupuesto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1" l="1"/>
  <c r="G85" i="1" s="1"/>
  <c r="G84" i="1"/>
  <c r="G83" i="1"/>
  <c r="G82" i="1"/>
  <c r="G81" i="1"/>
  <c r="F80" i="1"/>
  <c r="E80" i="1"/>
  <c r="E79" i="1"/>
  <c r="F77" i="1"/>
  <c r="F70" i="1" s="1"/>
  <c r="G76" i="1"/>
  <c r="G75" i="1"/>
  <c r="G74" i="1"/>
  <c r="G73" i="1"/>
  <c r="G72" i="1"/>
  <c r="G71" i="1"/>
  <c r="E70" i="1"/>
  <c r="F69" i="1"/>
  <c r="F58" i="1" s="1"/>
  <c r="G68" i="1"/>
  <c r="G67" i="1"/>
  <c r="G66" i="1"/>
  <c r="G65" i="1"/>
  <c r="G64" i="1"/>
  <c r="G63" i="1"/>
  <c r="G62" i="1"/>
  <c r="G61" i="1"/>
  <c r="G60" i="1"/>
  <c r="G59" i="1"/>
  <c r="E58" i="1"/>
  <c r="E57" i="1"/>
  <c r="G55" i="1"/>
  <c r="G53" i="1" s="1"/>
  <c r="F55" i="1"/>
  <c r="F53" i="1" s="1"/>
  <c r="G54" i="1"/>
  <c r="E53" i="1"/>
  <c r="F52" i="1"/>
  <c r="F50" i="1" s="1"/>
  <c r="G51" i="1"/>
  <c r="E50" i="1"/>
  <c r="G49" i="1"/>
  <c r="G38" i="1" s="1"/>
  <c r="F49" i="1"/>
  <c r="G48" i="1"/>
  <c r="G47" i="1"/>
  <c r="G46" i="1"/>
  <c r="G45" i="1"/>
  <c r="G44" i="1"/>
  <c r="G43" i="1"/>
  <c r="G42" i="1"/>
  <c r="G41" i="1"/>
  <c r="G40" i="1"/>
  <c r="G39" i="1"/>
  <c r="F38" i="1"/>
  <c r="E38" i="1"/>
  <c r="F37" i="1"/>
  <c r="G37" i="1" s="1"/>
  <c r="G36" i="1"/>
  <c r="G35" i="1"/>
  <c r="F34" i="1"/>
  <c r="E34" i="1"/>
  <c r="E33" i="1"/>
  <c r="F31" i="1"/>
  <c r="G31" i="1" s="1"/>
  <c r="G30" i="1"/>
  <c r="G29" i="1"/>
  <c r="F28" i="1"/>
  <c r="E28" i="1"/>
  <c r="E27" i="1"/>
  <c r="F25" i="1"/>
  <c r="G25" i="1" s="1"/>
  <c r="G17" i="1" s="1"/>
  <c r="G24" i="1"/>
  <c r="G23" i="1"/>
  <c r="G22" i="1"/>
  <c r="G21" i="1"/>
  <c r="G20" i="1"/>
  <c r="G19" i="1"/>
  <c r="G18" i="1"/>
  <c r="F17" i="1"/>
  <c r="E17" i="1"/>
  <c r="F16" i="1"/>
  <c r="G16" i="1" s="1"/>
  <c r="G15" i="1"/>
  <c r="G14" i="1"/>
  <c r="G13" i="1"/>
  <c r="G12" i="1"/>
  <c r="G11" i="1"/>
  <c r="G10" i="1"/>
  <c r="G9" i="1"/>
  <c r="G8" i="1"/>
  <c r="G7" i="1"/>
  <c r="G6" i="1"/>
  <c r="F5" i="1"/>
  <c r="E5" i="1"/>
  <c r="E4" i="1"/>
  <c r="F32" i="1" l="1"/>
  <c r="G28" i="1"/>
  <c r="G34" i="1"/>
  <c r="F26" i="1"/>
  <c r="G5" i="1"/>
  <c r="F86" i="1"/>
  <c r="G80" i="1"/>
  <c r="G52" i="1"/>
  <c r="G50" i="1" s="1"/>
  <c r="G77" i="1"/>
  <c r="G70" i="1" s="1"/>
  <c r="G69" i="1"/>
  <c r="F78" i="1" l="1"/>
  <c r="G58" i="1"/>
  <c r="F56" i="1"/>
  <c r="G86" i="1"/>
  <c r="G79" i="1" s="1"/>
  <c r="F79" i="1"/>
  <c r="G26" i="1"/>
  <c r="G4" i="1" s="1"/>
  <c r="F4" i="1"/>
  <c r="G32" i="1"/>
  <c r="G27" i="1" s="1"/>
  <c r="F27" i="1"/>
  <c r="F33" i="1" l="1"/>
  <c r="G56" i="1"/>
  <c r="G33" i="1" s="1"/>
  <c r="F57" i="1"/>
  <c r="G78" i="1"/>
  <c r="G57" i="1" s="1"/>
</calcChain>
</file>

<file path=xl/sharedStrings.xml><?xml version="1.0" encoding="utf-8"?>
<sst xmlns="http://schemas.openxmlformats.org/spreadsheetml/2006/main" count="296" uniqueCount="98">
  <si>
    <t>Prueba web 01 — CAD fusionado + PDF (GPT visión)</t>
  </si>
  <si>
    <t>Presupuesto</t>
  </si>
  <si>
    <t>Código</t>
  </si>
  <si>
    <t>Nat</t>
  </si>
  <si>
    <t>Ud</t>
  </si>
  <si>
    <t>Resumen</t>
  </si>
  <si>
    <t>CanPres</t>
  </si>
  <si>
    <t>PrPres</t>
  </si>
  <si>
    <t>ImpPres</t>
  </si>
  <si>
    <t>DUP-CH-01</t>
  </si>
  <si>
    <t>Capítulo</t>
  </si>
  <si>
    <t>ESTRUCTURA</t>
  </si>
  <si>
    <t>DUP-CH-01.01</t>
  </si>
  <si>
    <t>HORMIGON ARMADO</t>
  </si>
  <si>
    <t>P030323</t>
  </si>
  <si>
    <t>Partida</t>
  </si>
  <si>
    <t>m3</t>
  </si>
  <si>
    <t>Columna C4  1.00 x 0.50 - 22 Ø1", 4 Est Ø3/8"@0.10</t>
  </si>
  <si>
    <t>DUP-0001</t>
  </si>
  <si>
    <t>m2</t>
  </si>
  <si>
    <t>Elemento estructural</t>
  </si>
  <si>
    <t>DUP-0002</t>
  </si>
  <si>
    <t>DUP-0003</t>
  </si>
  <si>
    <t>P0303105</t>
  </si>
  <si>
    <t>Viga de Amarre (0.30m x 0.20m)</t>
  </si>
  <si>
    <t>Subtotal/Cierre de capítulo</t>
  </si>
  <si>
    <t>Subtotal HORMIGON ARMADO</t>
  </si>
  <si>
    <t>DUP-CH-01.02</t>
  </si>
  <si>
    <t>ENCOFRADOS</t>
  </si>
  <si>
    <t>H0502291</t>
  </si>
  <si>
    <t>M.O. Encofrado columnna</t>
  </si>
  <si>
    <t>H0502195</t>
  </si>
  <si>
    <t>M.O. Encofrado Vigas</t>
  </si>
  <si>
    <t>Subtotal ENCOFRADOS</t>
  </si>
  <si>
    <t>Subtotal ESTRUCTURA</t>
  </si>
  <si>
    <t>DUP-CH-04</t>
  </si>
  <si>
    <t>IMPERMEABILIZACION</t>
  </si>
  <si>
    <t>DUP-CH-04.01</t>
  </si>
  <si>
    <t>TERMINACIONES HUMEDAS</t>
  </si>
  <si>
    <t>H0402200</t>
  </si>
  <si>
    <t>M.O. Aplicacion Impermeabilizante</t>
  </si>
  <si>
    <t>Subtotal TERMINACIONES HUMEDAS</t>
  </si>
  <si>
    <t>Subtotal IMPERMEABILIZACION</t>
  </si>
  <si>
    <t>DUP-CH-05</t>
  </si>
  <si>
    <t>TERMINACIONES</t>
  </si>
  <si>
    <t>DUP-CH-05.01</t>
  </si>
  <si>
    <t>TERMINACION DE SUPERFICIES</t>
  </si>
  <si>
    <t>P0501101</t>
  </si>
  <si>
    <t>Pañete en muros Interiores e=1.75cm</t>
  </si>
  <si>
    <t>DUP-0004</t>
  </si>
  <si>
    <t>Pintura en muros</t>
  </si>
  <si>
    <t>Subtotal TERMINACION DE SUPERFICIES</t>
  </si>
  <si>
    <t>DUP-CH-05.02</t>
  </si>
  <si>
    <t>TERMINACION DE PISOS</t>
  </si>
  <si>
    <t>B0307025</t>
  </si>
  <si>
    <t>M.O. Prep. de Superficie Colocar Pisos</t>
  </si>
  <si>
    <t>Subtotal TERMINACION DE PISOS</t>
  </si>
  <si>
    <t>DUP-CH-05.04</t>
  </si>
  <si>
    <t>M1602008</t>
  </si>
  <si>
    <t>Cerámica 0.30x0.60m +10% desp</t>
  </si>
  <si>
    <t>DUP-CH-05.06</t>
  </si>
  <si>
    <t>ESCALERAS</t>
  </si>
  <si>
    <t>P1201101</t>
  </si>
  <si>
    <t>unit</t>
  </si>
  <si>
    <t>Escalones en escalera incluye zocalos</t>
  </si>
  <si>
    <t>Subtotal ESCALERAS</t>
  </si>
  <si>
    <t>Subtotal TERMINACIONES</t>
  </si>
  <si>
    <t>DUP-CH-06</t>
  </si>
  <si>
    <t>CARPINTERIAS</t>
  </si>
  <si>
    <t>DUP-CH-06.01</t>
  </si>
  <si>
    <t>PUERTAS</t>
  </si>
  <si>
    <t>M0811170</t>
  </si>
  <si>
    <t>Llavín Stanley para puertas</t>
  </si>
  <si>
    <t>P1501051</t>
  </si>
  <si>
    <t>Puerta Madera Andiroba, 0.80-0.90m x 2.10m Interior</t>
  </si>
  <si>
    <t>P1501050</t>
  </si>
  <si>
    <t>Puerta Madera Roble, 1.00m x 2.10m Principal</t>
  </si>
  <si>
    <t>Subtotal PUERTAS</t>
  </si>
  <si>
    <t>DUP-CH-06.02</t>
  </si>
  <si>
    <t>VENTANAS</t>
  </si>
  <si>
    <t>P1601045</t>
  </si>
  <si>
    <t>Ventanas Corredera Aluminio y Vidrio</t>
  </si>
  <si>
    <t>Subtotal VENTANAS</t>
  </si>
  <si>
    <t>Subtotal CARPINTERIAS</t>
  </si>
  <si>
    <t>DUP-CH-08</t>
  </si>
  <si>
    <t>INSTALACIONES</t>
  </si>
  <si>
    <t>DUP-CH-08.01</t>
  </si>
  <si>
    <t>ELECTRICAS</t>
  </si>
  <si>
    <t>M2400020</t>
  </si>
  <si>
    <t>Lampara</t>
  </si>
  <si>
    <t>M302205</t>
  </si>
  <si>
    <t>Luminaria 120V, 60 Hz</t>
  </si>
  <si>
    <t>A.0302</t>
  </si>
  <si>
    <t>Luminaria 120V, 60Hz</t>
  </si>
  <si>
    <t>A.0304</t>
  </si>
  <si>
    <t>Luminaria de emergencia 120V, 60Hz</t>
  </si>
  <si>
    <t>Subtotal ELECTRICAS</t>
  </si>
  <si>
    <t>Subtotal INSTALACIONES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</si>
</sst>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2" width="16" customWidth="1"/>
    <col min="3" max="3" width="10" customWidth="1"/>
    <col min="4" max="4" width="60" customWidth="1"/>
    <col min="5" max="6" width="14" customWidth="1"/>
    <col min="7" max="7" width="16" customWidth="1"/>
  </cols>
  <sheetData>
    <row r="1" spans="1:7" ht="18" x14ac:dyDescent="0.35">
      <c r="A1" s="1" t="s">
        <v>0</v>
      </c>
    </row>
    <row r="2" spans="1:7" ht="15.6" x14ac:dyDescent="0.3">
      <c r="A2" s="2" t="s">
        <v>1</v>
      </c>
    </row>
    <row r="3" spans="1:7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3">
      <c r="A4" s="4" t="s">
        <v>9</v>
      </c>
      <c r="B4" s="4" t="s">
        <v>10</v>
      </c>
      <c r="C4" s="4"/>
      <c r="D4" s="4" t="s">
        <v>11</v>
      </c>
      <c r="E4" s="5">
        <f>E26</f>
        <v>1</v>
      </c>
      <c r="F4" s="5">
        <f>F26</f>
        <v>39263007.880000003</v>
      </c>
      <c r="G4" s="5">
        <f>G26</f>
        <v>39263007.880000003</v>
      </c>
    </row>
    <row r="5" spans="1:7" x14ac:dyDescent="0.3">
      <c r="A5" s="4" t="s">
        <v>12</v>
      </c>
      <c r="B5" s="4" t="s">
        <v>10</v>
      </c>
      <c r="C5" s="4"/>
      <c r="D5" s="4" t="s">
        <v>13</v>
      </c>
      <c r="E5" s="5">
        <f>E16</f>
        <v>1</v>
      </c>
      <c r="F5" s="5">
        <f>F16</f>
        <v>31128192.100000001</v>
      </c>
      <c r="G5" s="5">
        <f>G16</f>
        <v>31128192.100000001</v>
      </c>
    </row>
    <row r="6" spans="1:7" x14ac:dyDescent="0.3">
      <c r="A6" s="6" t="s">
        <v>14</v>
      </c>
      <c r="B6" s="6" t="s">
        <v>15</v>
      </c>
      <c r="C6" s="6" t="s">
        <v>16</v>
      </c>
      <c r="D6" s="6" t="s">
        <v>17</v>
      </c>
      <c r="E6" s="7">
        <v>0.44800000000000001</v>
      </c>
      <c r="F6" s="7">
        <v>53226.23</v>
      </c>
      <c r="G6" s="7">
        <f t="shared" ref="G6:G16" si="0">ROUND(E6*F6,2)</f>
        <v>23845.35</v>
      </c>
    </row>
    <row r="7" spans="1:7" x14ac:dyDescent="0.3">
      <c r="A7" s="6" t="s">
        <v>14</v>
      </c>
      <c r="B7" s="6" t="s">
        <v>15</v>
      </c>
      <c r="C7" s="6" t="s">
        <v>16</v>
      </c>
      <c r="D7" s="6" t="s">
        <v>17</v>
      </c>
      <c r="E7" s="7">
        <v>0.44800000000000001</v>
      </c>
      <c r="F7" s="7">
        <v>53226.23</v>
      </c>
      <c r="G7" s="7">
        <f t="shared" si="0"/>
        <v>23845.35</v>
      </c>
    </row>
    <row r="8" spans="1:7" x14ac:dyDescent="0.3">
      <c r="A8" s="6" t="s">
        <v>14</v>
      </c>
      <c r="B8" s="6" t="s">
        <v>15</v>
      </c>
      <c r="C8" s="6" t="s">
        <v>16</v>
      </c>
      <c r="D8" s="6" t="s">
        <v>17</v>
      </c>
      <c r="E8" s="7">
        <v>124.992</v>
      </c>
      <c r="F8" s="7">
        <v>53226.23</v>
      </c>
      <c r="G8" s="7">
        <f t="shared" si="0"/>
        <v>6652852.9400000004</v>
      </c>
    </row>
    <row r="9" spans="1:7" x14ac:dyDescent="0.3">
      <c r="A9" s="6" t="s">
        <v>14</v>
      </c>
      <c r="B9" s="6" t="s">
        <v>15</v>
      </c>
      <c r="C9" s="6" t="s">
        <v>16</v>
      </c>
      <c r="D9" s="6" t="s">
        <v>17</v>
      </c>
      <c r="E9" s="7">
        <v>0.44800000000000001</v>
      </c>
      <c r="F9" s="7">
        <v>53226.23</v>
      </c>
      <c r="G9" s="7">
        <f t="shared" si="0"/>
        <v>23845.35</v>
      </c>
    </row>
    <row r="10" spans="1:7" x14ac:dyDescent="0.3">
      <c r="A10" s="6" t="s">
        <v>18</v>
      </c>
      <c r="B10" s="6" t="s">
        <v>15</v>
      </c>
      <c r="C10" s="6" t="s">
        <v>19</v>
      </c>
      <c r="D10" s="6" t="s">
        <v>20</v>
      </c>
      <c r="E10" s="7">
        <v>175.34699999999981</v>
      </c>
      <c r="F10" s="7"/>
      <c r="G10" s="7">
        <f t="shared" si="0"/>
        <v>0</v>
      </c>
    </row>
    <row r="11" spans="1:7" x14ac:dyDescent="0.3">
      <c r="A11" s="6" t="s">
        <v>21</v>
      </c>
      <c r="B11" s="6" t="s">
        <v>15</v>
      </c>
      <c r="C11" s="6" t="s">
        <v>19</v>
      </c>
      <c r="D11" s="6" t="s">
        <v>20</v>
      </c>
      <c r="E11" s="7">
        <v>0.56600000000000039</v>
      </c>
      <c r="F11" s="7"/>
      <c r="G11" s="7">
        <f t="shared" si="0"/>
        <v>0</v>
      </c>
    </row>
    <row r="12" spans="1:7" x14ac:dyDescent="0.3">
      <c r="A12" s="6" t="s">
        <v>22</v>
      </c>
      <c r="B12" s="6" t="s">
        <v>15</v>
      </c>
      <c r="C12" s="6" t="s">
        <v>19</v>
      </c>
      <c r="D12" s="6" t="s">
        <v>20</v>
      </c>
      <c r="E12" s="7">
        <v>2.0000000000000011E-2</v>
      </c>
      <c r="F12" s="7"/>
      <c r="G12" s="7">
        <f t="shared" si="0"/>
        <v>0</v>
      </c>
    </row>
    <row r="13" spans="1:7" x14ac:dyDescent="0.3">
      <c r="A13" s="6" t="s">
        <v>23</v>
      </c>
      <c r="B13" s="6" t="s">
        <v>15</v>
      </c>
      <c r="C13" s="6" t="s">
        <v>16</v>
      </c>
      <c r="D13" s="6" t="s">
        <v>24</v>
      </c>
      <c r="E13" s="7">
        <v>373.78290000000271</v>
      </c>
      <c r="F13" s="7">
        <v>41607.18</v>
      </c>
      <c r="G13" s="7">
        <f t="shared" si="0"/>
        <v>15552052.4</v>
      </c>
    </row>
    <row r="14" spans="1:7" x14ac:dyDescent="0.3">
      <c r="A14" s="6" t="s">
        <v>23</v>
      </c>
      <c r="B14" s="6" t="s">
        <v>15</v>
      </c>
      <c r="C14" s="6" t="s">
        <v>16</v>
      </c>
      <c r="D14" s="6" t="s">
        <v>24</v>
      </c>
      <c r="E14" s="7">
        <v>9.9832500000000088</v>
      </c>
      <c r="F14" s="7">
        <v>41607.18</v>
      </c>
      <c r="G14" s="7">
        <f t="shared" si="0"/>
        <v>415374.88</v>
      </c>
    </row>
    <row r="15" spans="1:7" x14ac:dyDescent="0.3">
      <c r="A15" s="6" t="s">
        <v>23</v>
      </c>
      <c r="B15" s="6" t="s">
        <v>15</v>
      </c>
      <c r="C15" s="6" t="s">
        <v>16</v>
      </c>
      <c r="D15" s="6" t="s">
        <v>24</v>
      </c>
      <c r="E15" s="7">
        <v>202.76250000000019</v>
      </c>
      <c r="F15" s="7">
        <v>41607.18</v>
      </c>
      <c r="G15" s="7">
        <f t="shared" si="0"/>
        <v>8436375.8300000001</v>
      </c>
    </row>
    <row r="16" spans="1:7" x14ac:dyDescent="0.3">
      <c r="A16" s="8"/>
      <c r="B16" s="8" t="s">
        <v>25</v>
      </c>
      <c r="C16" s="8"/>
      <c r="D16" s="8" t="s">
        <v>26</v>
      </c>
      <c r="E16" s="9">
        <v>1</v>
      </c>
      <c r="F16" s="9">
        <f>SUM(G6,G7,G8,G9,G10,G11,G12,G13,G14,G15)</f>
        <v>31128192.100000001</v>
      </c>
      <c r="G16" s="9">
        <f t="shared" si="0"/>
        <v>31128192.100000001</v>
      </c>
    </row>
    <row r="17" spans="1:7" x14ac:dyDescent="0.3">
      <c r="A17" s="4" t="s">
        <v>27</v>
      </c>
      <c r="B17" s="4" t="s">
        <v>10</v>
      </c>
      <c r="C17" s="4"/>
      <c r="D17" s="4" t="s">
        <v>28</v>
      </c>
      <c r="E17" s="5">
        <f>E25</f>
        <v>1</v>
      </c>
      <c r="F17" s="5">
        <f>F25</f>
        <v>8134815.7799999993</v>
      </c>
      <c r="G17" s="5">
        <f>G25</f>
        <v>8134815.7800000003</v>
      </c>
    </row>
    <row r="18" spans="1:7" x14ac:dyDescent="0.3">
      <c r="A18" s="6" t="s">
        <v>29</v>
      </c>
      <c r="B18" s="6" t="s">
        <v>15</v>
      </c>
      <c r="C18" s="6" t="s">
        <v>19</v>
      </c>
      <c r="D18" s="6" t="s">
        <v>30</v>
      </c>
      <c r="E18" s="7">
        <v>4.4800000000000004</v>
      </c>
      <c r="F18" s="7">
        <v>806</v>
      </c>
      <c r="G18" s="7">
        <f t="shared" ref="G18:G26" si="1">ROUND(E18*F18,2)</f>
        <v>3610.88</v>
      </c>
    </row>
    <row r="19" spans="1:7" x14ac:dyDescent="0.3">
      <c r="A19" s="6" t="s">
        <v>29</v>
      </c>
      <c r="B19" s="6" t="s">
        <v>15</v>
      </c>
      <c r="C19" s="6" t="s">
        <v>19</v>
      </c>
      <c r="D19" s="6" t="s">
        <v>30</v>
      </c>
      <c r="E19" s="7">
        <v>4.4800000000000004</v>
      </c>
      <c r="F19" s="7">
        <v>806</v>
      </c>
      <c r="G19" s="7">
        <f t="shared" si="1"/>
        <v>3610.88</v>
      </c>
    </row>
    <row r="20" spans="1:7" x14ac:dyDescent="0.3">
      <c r="A20" s="6" t="s">
        <v>29</v>
      </c>
      <c r="B20" s="6" t="s">
        <v>15</v>
      </c>
      <c r="C20" s="6" t="s">
        <v>19</v>
      </c>
      <c r="D20" s="6" t="s">
        <v>30</v>
      </c>
      <c r="E20" s="7">
        <v>1249.92</v>
      </c>
      <c r="F20" s="7">
        <v>806</v>
      </c>
      <c r="G20" s="7">
        <f t="shared" si="1"/>
        <v>1007435.52</v>
      </c>
    </row>
    <row r="21" spans="1:7" x14ac:dyDescent="0.3">
      <c r="A21" s="6" t="s">
        <v>29</v>
      </c>
      <c r="B21" s="6" t="s">
        <v>15</v>
      </c>
      <c r="C21" s="6" t="s">
        <v>19</v>
      </c>
      <c r="D21" s="6" t="s">
        <v>30</v>
      </c>
      <c r="E21" s="7">
        <v>4.4800000000000004</v>
      </c>
      <c r="F21" s="7">
        <v>806</v>
      </c>
      <c r="G21" s="7">
        <f t="shared" si="1"/>
        <v>3610.88</v>
      </c>
    </row>
    <row r="22" spans="1:7" x14ac:dyDescent="0.3">
      <c r="A22" s="6" t="s">
        <v>31</v>
      </c>
      <c r="B22" s="6" t="s">
        <v>15</v>
      </c>
      <c r="C22" s="6" t="s">
        <v>19</v>
      </c>
      <c r="D22" s="6" t="s">
        <v>32</v>
      </c>
      <c r="E22" s="7">
        <v>3239.4518000000239</v>
      </c>
      <c r="F22" s="7">
        <v>1400</v>
      </c>
      <c r="G22" s="7">
        <f t="shared" si="1"/>
        <v>4535232.5199999996</v>
      </c>
    </row>
    <row r="23" spans="1:7" x14ac:dyDescent="0.3">
      <c r="A23" s="6" t="s">
        <v>31</v>
      </c>
      <c r="B23" s="6" t="s">
        <v>15</v>
      </c>
      <c r="C23" s="6" t="s">
        <v>19</v>
      </c>
      <c r="D23" s="6" t="s">
        <v>32</v>
      </c>
      <c r="E23" s="7">
        <v>86.521500000000088</v>
      </c>
      <c r="F23" s="7">
        <v>1400</v>
      </c>
      <c r="G23" s="7">
        <f t="shared" si="1"/>
        <v>121130.1</v>
      </c>
    </row>
    <row r="24" spans="1:7" x14ac:dyDescent="0.3">
      <c r="A24" s="6" t="s">
        <v>31</v>
      </c>
      <c r="B24" s="6" t="s">
        <v>15</v>
      </c>
      <c r="C24" s="6" t="s">
        <v>19</v>
      </c>
      <c r="D24" s="6" t="s">
        <v>32</v>
      </c>
      <c r="E24" s="7">
        <v>1757.2750000000019</v>
      </c>
      <c r="F24" s="7">
        <v>1400</v>
      </c>
      <c r="G24" s="7">
        <f t="shared" si="1"/>
        <v>2460185</v>
      </c>
    </row>
    <row r="25" spans="1:7" x14ac:dyDescent="0.3">
      <c r="A25" s="8"/>
      <c r="B25" s="8" t="s">
        <v>25</v>
      </c>
      <c r="C25" s="8"/>
      <c r="D25" s="8" t="s">
        <v>33</v>
      </c>
      <c r="E25" s="9">
        <v>1</v>
      </c>
      <c r="F25" s="9">
        <f>SUM(G18,G19,G20,G21,G22,G23,G24)</f>
        <v>8134815.7799999993</v>
      </c>
      <c r="G25" s="9">
        <f t="shared" si="1"/>
        <v>8134815.7800000003</v>
      </c>
    </row>
    <row r="26" spans="1:7" x14ac:dyDescent="0.3">
      <c r="A26" s="8"/>
      <c r="B26" s="8" t="s">
        <v>25</v>
      </c>
      <c r="C26" s="8"/>
      <c r="D26" s="8" t="s">
        <v>34</v>
      </c>
      <c r="E26" s="9">
        <v>1</v>
      </c>
      <c r="F26" s="9">
        <f>SUM(G16,G25)</f>
        <v>39263007.880000003</v>
      </c>
      <c r="G26" s="9">
        <f t="shared" si="1"/>
        <v>39263007.880000003</v>
      </c>
    </row>
    <row r="27" spans="1:7" x14ac:dyDescent="0.3">
      <c r="A27" s="4" t="s">
        <v>35</v>
      </c>
      <c r="B27" s="4" t="s">
        <v>10</v>
      </c>
      <c r="C27" s="4"/>
      <c r="D27" s="4" t="s">
        <v>36</v>
      </c>
      <c r="E27" s="5">
        <f>E32</f>
        <v>1</v>
      </c>
      <c r="F27" s="5">
        <f>F32</f>
        <v>3500</v>
      </c>
      <c r="G27" s="5">
        <f>G32</f>
        <v>3500</v>
      </c>
    </row>
    <row r="28" spans="1:7" x14ac:dyDescent="0.3">
      <c r="A28" s="4" t="s">
        <v>37</v>
      </c>
      <c r="B28" s="4" t="s">
        <v>10</v>
      </c>
      <c r="C28" s="4"/>
      <c r="D28" s="4" t="s">
        <v>38</v>
      </c>
      <c r="E28" s="5">
        <f>E31</f>
        <v>1</v>
      </c>
      <c r="F28" s="5">
        <f>F31</f>
        <v>3500</v>
      </c>
      <c r="G28" s="5">
        <f>G31</f>
        <v>3500</v>
      </c>
    </row>
    <row r="29" spans="1:7" x14ac:dyDescent="0.3">
      <c r="A29" s="6" t="s">
        <v>39</v>
      </c>
      <c r="B29" s="6" t="s">
        <v>15</v>
      </c>
      <c r="C29" s="6" t="s">
        <v>19</v>
      </c>
      <c r="D29" s="6" t="s">
        <v>40</v>
      </c>
      <c r="E29" s="7">
        <v>4</v>
      </c>
      <c r="F29" s="7">
        <v>250</v>
      </c>
      <c r="G29" s="7">
        <f>ROUND(E29*F29,2)</f>
        <v>1000</v>
      </c>
    </row>
    <row r="30" spans="1:7" x14ac:dyDescent="0.3">
      <c r="A30" s="6" t="s">
        <v>39</v>
      </c>
      <c r="B30" s="6" t="s">
        <v>15</v>
      </c>
      <c r="C30" s="6" t="s">
        <v>19</v>
      </c>
      <c r="D30" s="6" t="s">
        <v>40</v>
      </c>
      <c r="E30" s="7">
        <v>10</v>
      </c>
      <c r="F30" s="7">
        <v>250</v>
      </c>
      <c r="G30" s="7">
        <f>ROUND(E30*F30,2)</f>
        <v>2500</v>
      </c>
    </row>
    <row r="31" spans="1:7" x14ac:dyDescent="0.3">
      <c r="A31" s="8"/>
      <c r="B31" s="8" t="s">
        <v>25</v>
      </c>
      <c r="C31" s="8"/>
      <c r="D31" s="8" t="s">
        <v>41</v>
      </c>
      <c r="E31" s="9">
        <v>1</v>
      </c>
      <c r="F31" s="9">
        <f>SUM(G29,G30)</f>
        <v>3500</v>
      </c>
      <c r="G31" s="9">
        <f>ROUND(E31*F31,2)</f>
        <v>3500</v>
      </c>
    </row>
    <row r="32" spans="1:7" x14ac:dyDescent="0.3">
      <c r="A32" s="8"/>
      <c r="B32" s="8" t="s">
        <v>25</v>
      </c>
      <c r="C32" s="8"/>
      <c r="D32" s="8" t="s">
        <v>42</v>
      </c>
      <c r="E32" s="9">
        <v>1</v>
      </c>
      <c r="F32" s="9">
        <f>SUM(G31)</f>
        <v>3500</v>
      </c>
      <c r="G32" s="9">
        <f>ROUND(E32*F32,2)</f>
        <v>3500</v>
      </c>
    </row>
    <row r="33" spans="1:7" x14ac:dyDescent="0.3">
      <c r="A33" s="4" t="s">
        <v>43</v>
      </c>
      <c r="B33" s="4" t="s">
        <v>10</v>
      </c>
      <c r="C33" s="4"/>
      <c r="D33" s="4" t="s">
        <v>44</v>
      </c>
      <c r="E33" s="5">
        <f>E56</f>
        <v>1</v>
      </c>
      <c r="F33" s="5">
        <f>F56</f>
        <v>6544803.3899999997</v>
      </c>
      <c r="G33" s="5">
        <f>G56</f>
        <v>6544803.3899999997</v>
      </c>
    </row>
    <row r="34" spans="1:7" x14ac:dyDescent="0.3">
      <c r="A34" s="4" t="s">
        <v>45</v>
      </c>
      <c r="B34" s="4" t="s">
        <v>10</v>
      </c>
      <c r="C34" s="4"/>
      <c r="D34" s="4" t="s">
        <v>46</v>
      </c>
      <c r="E34" s="5">
        <f>E37</f>
        <v>1</v>
      </c>
      <c r="F34" s="5">
        <f>F37</f>
        <v>6366606.7999999998</v>
      </c>
      <c r="G34" s="5">
        <f>G37</f>
        <v>6366606.7999999998</v>
      </c>
    </row>
    <row r="35" spans="1:7" x14ac:dyDescent="0.3">
      <c r="A35" s="6" t="s">
        <v>47</v>
      </c>
      <c r="B35" s="6" t="s">
        <v>15</v>
      </c>
      <c r="C35" s="6" t="s">
        <v>19</v>
      </c>
      <c r="D35" s="6" t="s">
        <v>48</v>
      </c>
      <c r="E35" s="7">
        <v>11683.9911999999</v>
      </c>
      <c r="F35" s="7">
        <v>544.9</v>
      </c>
      <c r="G35" s="7">
        <f>ROUND(E35*F35,2)</f>
        <v>6366606.7999999998</v>
      </c>
    </row>
    <row r="36" spans="1:7" x14ac:dyDescent="0.3">
      <c r="A36" s="6" t="s">
        <v>49</v>
      </c>
      <c r="B36" s="6" t="s">
        <v>15</v>
      </c>
      <c r="C36" s="6" t="s">
        <v>19</v>
      </c>
      <c r="D36" s="6" t="s">
        <v>50</v>
      </c>
      <c r="E36" s="7">
        <v>11683.9911999999</v>
      </c>
      <c r="F36" s="7"/>
      <c r="G36" s="7">
        <f>ROUND(E36*F36,2)</f>
        <v>0</v>
      </c>
    </row>
    <row r="37" spans="1:7" x14ac:dyDescent="0.3">
      <c r="A37" s="8"/>
      <c r="B37" s="8" t="s">
        <v>25</v>
      </c>
      <c r="C37" s="8"/>
      <c r="D37" s="8" t="s">
        <v>51</v>
      </c>
      <c r="E37" s="9">
        <v>1</v>
      </c>
      <c r="F37" s="9">
        <f>SUM(G35,G36)</f>
        <v>6366606.7999999998</v>
      </c>
      <c r="G37" s="9">
        <f>ROUND(E37*F37,2)</f>
        <v>6366606.7999999998</v>
      </c>
    </row>
    <row r="38" spans="1:7" x14ac:dyDescent="0.3">
      <c r="A38" s="4" t="s">
        <v>52</v>
      </c>
      <c r="B38" s="4" t="s">
        <v>10</v>
      </c>
      <c r="C38" s="4"/>
      <c r="D38" s="4" t="s">
        <v>53</v>
      </c>
      <c r="E38" s="5">
        <f>E49</f>
        <v>1</v>
      </c>
      <c r="F38" s="5">
        <f>F49</f>
        <v>159295.5</v>
      </c>
      <c r="G38" s="5">
        <f>G49</f>
        <v>159295.5</v>
      </c>
    </row>
    <row r="39" spans="1:7" x14ac:dyDescent="0.3">
      <c r="A39" s="6" t="s">
        <v>54</v>
      </c>
      <c r="B39" s="6" t="s">
        <v>15</v>
      </c>
      <c r="C39" s="6" t="s">
        <v>19</v>
      </c>
      <c r="D39" s="6" t="s">
        <v>55</v>
      </c>
      <c r="E39" s="7">
        <v>176.75</v>
      </c>
      <c r="F39" s="7">
        <v>84.62</v>
      </c>
      <c r="G39" s="7">
        <f t="shared" ref="G39:G49" si="2">ROUND(E39*F39,2)</f>
        <v>14956.59</v>
      </c>
    </row>
    <row r="40" spans="1:7" x14ac:dyDescent="0.3">
      <c r="A40" s="6" t="s">
        <v>54</v>
      </c>
      <c r="B40" s="6" t="s">
        <v>15</v>
      </c>
      <c r="C40" s="6" t="s">
        <v>19</v>
      </c>
      <c r="D40" s="6" t="s">
        <v>55</v>
      </c>
      <c r="E40" s="7">
        <v>176.75</v>
      </c>
      <c r="F40" s="7">
        <v>84.62</v>
      </c>
      <c r="G40" s="7">
        <f t="shared" si="2"/>
        <v>14956.59</v>
      </c>
    </row>
    <row r="41" spans="1:7" x14ac:dyDescent="0.3">
      <c r="A41" s="6" t="s">
        <v>54</v>
      </c>
      <c r="B41" s="6" t="s">
        <v>15</v>
      </c>
      <c r="C41" s="6" t="s">
        <v>19</v>
      </c>
      <c r="D41" s="6" t="s">
        <v>55</v>
      </c>
      <c r="E41" s="7">
        <v>176.75</v>
      </c>
      <c r="F41" s="7">
        <v>84.62</v>
      </c>
      <c r="G41" s="7">
        <f t="shared" si="2"/>
        <v>14956.59</v>
      </c>
    </row>
    <row r="42" spans="1:7" x14ac:dyDescent="0.3">
      <c r="A42" s="6" t="s">
        <v>54</v>
      </c>
      <c r="B42" s="6" t="s">
        <v>15</v>
      </c>
      <c r="C42" s="6" t="s">
        <v>19</v>
      </c>
      <c r="D42" s="6" t="s">
        <v>55</v>
      </c>
      <c r="E42" s="7">
        <v>176.75</v>
      </c>
      <c r="F42" s="7">
        <v>84.62</v>
      </c>
      <c r="G42" s="7">
        <f t="shared" si="2"/>
        <v>14956.59</v>
      </c>
    </row>
    <row r="43" spans="1:7" x14ac:dyDescent="0.3">
      <c r="A43" s="6" t="s">
        <v>54</v>
      </c>
      <c r="B43" s="6" t="s">
        <v>15</v>
      </c>
      <c r="C43" s="6" t="s">
        <v>19</v>
      </c>
      <c r="D43" s="6" t="s">
        <v>55</v>
      </c>
      <c r="E43" s="7">
        <v>176.75</v>
      </c>
      <c r="F43" s="7">
        <v>84.62</v>
      </c>
      <c r="G43" s="7">
        <f t="shared" si="2"/>
        <v>14956.59</v>
      </c>
    </row>
    <row r="44" spans="1:7" x14ac:dyDescent="0.3">
      <c r="A44" s="6" t="s">
        <v>54</v>
      </c>
      <c r="B44" s="6" t="s">
        <v>15</v>
      </c>
      <c r="C44" s="6" t="s">
        <v>19</v>
      </c>
      <c r="D44" s="6" t="s">
        <v>55</v>
      </c>
      <c r="E44" s="7">
        <v>291.73</v>
      </c>
      <c r="F44" s="7">
        <v>84.62</v>
      </c>
      <c r="G44" s="7">
        <f t="shared" si="2"/>
        <v>24686.19</v>
      </c>
    </row>
    <row r="45" spans="1:7" x14ac:dyDescent="0.3">
      <c r="A45" s="6" t="s">
        <v>54</v>
      </c>
      <c r="B45" s="6" t="s">
        <v>15</v>
      </c>
      <c r="C45" s="6" t="s">
        <v>19</v>
      </c>
      <c r="D45" s="6" t="s">
        <v>55</v>
      </c>
      <c r="E45" s="7">
        <v>176.75</v>
      </c>
      <c r="F45" s="7">
        <v>84.62</v>
      </c>
      <c r="G45" s="7">
        <f t="shared" si="2"/>
        <v>14956.59</v>
      </c>
    </row>
    <row r="46" spans="1:7" x14ac:dyDescent="0.3">
      <c r="A46" s="6" t="s">
        <v>54</v>
      </c>
      <c r="B46" s="6" t="s">
        <v>15</v>
      </c>
      <c r="C46" s="6" t="s">
        <v>19</v>
      </c>
      <c r="D46" s="6" t="s">
        <v>55</v>
      </c>
      <c r="E46" s="7">
        <v>176.75</v>
      </c>
      <c r="F46" s="7">
        <v>84.62</v>
      </c>
      <c r="G46" s="7">
        <f t="shared" si="2"/>
        <v>14956.59</v>
      </c>
    </row>
    <row r="47" spans="1:7" x14ac:dyDescent="0.3">
      <c r="A47" s="6" t="s">
        <v>54</v>
      </c>
      <c r="B47" s="6" t="s">
        <v>15</v>
      </c>
      <c r="C47" s="6" t="s">
        <v>19</v>
      </c>
      <c r="D47" s="6" t="s">
        <v>55</v>
      </c>
      <c r="E47" s="7">
        <v>176.75</v>
      </c>
      <c r="F47" s="7">
        <v>84.62</v>
      </c>
      <c r="G47" s="7">
        <f t="shared" si="2"/>
        <v>14956.59</v>
      </c>
    </row>
    <row r="48" spans="1:7" x14ac:dyDescent="0.3">
      <c r="A48" s="6" t="s">
        <v>54</v>
      </c>
      <c r="B48" s="6" t="s">
        <v>15</v>
      </c>
      <c r="C48" s="6" t="s">
        <v>19</v>
      </c>
      <c r="D48" s="6" t="s">
        <v>55</v>
      </c>
      <c r="E48" s="7">
        <v>176.75</v>
      </c>
      <c r="F48" s="7">
        <v>84.62</v>
      </c>
      <c r="G48" s="7">
        <f t="shared" si="2"/>
        <v>14956.59</v>
      </c>
    </row>
    <row r="49" spans="1:7" x14ac:dyDescent="0.3">
      <c r="A49" s="8"/>
      <c r="B49" s="8" t="s">
        <v>25</v>
      </c>
      <c r="C49" s="8"/>
      <c r="D49" s="8" t="s">
        <v>56</v>
      </c>
      <c r="E49" s="9">
        <v>1</v>
      </c>
      <c r="F49" s="9">
        <f>SUM(G39,G40,G41,G42,G43,G44,G45,G46,G47,G48)</f>
        <v>159295.5</v>
      </c>
      <c r="G49" s="9">
        <f t="shared" si="2"/>
        <v>159295.5</v>
      </c>
    </row>
    <row r="50" spans="1:7" x14ac:dyDescent="0.3">
      <c r="A50" s="4" t="s">
        <v>57</v>
      </c>
      <c r="B50" s="4" t="s">
        <v>10</v>
      </c>
      <c r="C50" s="4"/>
      <c r="D50" s="4" t="s">
        <v>38</v>
      </c>
      <c r="E50" s="5">
        <f>E52</f>
        <v>1</v>
      </c>
      <c r="F50" s="5">
        <f>F52</f>
        <v>15000</v>
      </c>
      <c r="G50" s="5">
        <f>G52</f>
        <v>15000</v>
      </c>
    </row>
    <row r="51" spans="1:7" x14ac:dyDescent="0.3">
      <c r="A51" s="6" t="s">
        <v>58</v>
      </c>
      <c r="B51" s="6" t="s">
        <v>15</v>
      </c>
      <c r="C51" s="6" t="s">
        <v>19</v>
      </c>
      <c r="D51" s="6" t="s">
        <v>59</v>
      </c>
      <c r="E51" s="7">
        <v>10</v>
      </c>
      <c r="F51" s="7">
        <v>1500</v>
      </c>
      <c r="G51" s="7">
        <f>ROUND(E51*F51,2)</f>
        <v>15000</v>
      </c>
    </row>
    <row r="52" spans="1:7" x14ac:dyDescent="0.3">
      <c r="A52" s="8"/>
      <c r="B52" s="8" t="s">
        <v>25</v>
      </c>
      <c r="C52" s="8"/>
      <c r="D52" s="8" t="s">
        <v>41</v>
      </c>
      <c r="E52" s="9">
        <v>1</v>
      </c>
      <c r="F52" s="9">
        <f>SUM(G51)</f>
        <v>15000</v>
      </c>
      <c r="G52" s="9">
        <f>ROUND(E52*F52,2)</f>
        <v>15000</v>
      </c>
    </row>
    <row r="53" spans="1:7" x14ac:dyDescent="0.3">
      <c r="A53" s="4" t="s">
        <v>60</v>
      </c>
      <c r="B53" s="4" t="s">
        <v>10</v>
      </c>
      <c r="C53" s="4"/>
      <c r="D53" s="4" t="s">
        <v>61</v>
      </c>
      <c r="E53" s="5">
        <f>E55</f>
        <v>1</v>
      </c>
      <c r="F53" s="5">
        <f>F55</f>
        <v>3901.09</v>
      </c>
      <c r="G53" s="5">
        <f>G55</f>
        <v>3901.09</v>
      </c>
    </row>
    <row r="54" spans="1:7" x14ac:dyDescent="0.3">
      <c r="A54" s="6" t="s">
        <v>62</v>
      </c>
      <c r="B54" s="6" t="s">
        <v>15</v>
      </c>
      <c r="C54" s="6" t="s">
        <v>63</v>
      </c>
      <c r="D54" s="6" t="s">
        <v>64</v>
      </c>
      <c r="E54" s="7">
        <v>1</v>
      </c>
      <c r="F54" s="7">
        <v>3901.09</v>
      </c>
      <c r="G54" s="7">
        <f>ROUND(E54*F54,2)</f>
        <v>3901.09</v>
      </c>
    </row>
    <row r="55" spans="1:7" x14ac:dyDescent="0.3">
      <c r="A55" s="8"/>
      <c r="B55" s="8" t="s">
        <v>25</v>
      </c>
      <c r="C55" s="8"/>
      <c r="D55" s="8" t="s">
        <v>65</v>
      </c>
      <c r="E55" s="9">
        <v>1</v>
      </c>
      <c r="F55" s="9">
        <f>SUM(G54)</f>
        <v>3901.09</v>
      </c>
      <c r="G55" s="9">
        <f>ROUND(E55*F55,2)</f>
        <v>3901.09</v>
      </c>
    </row>
    <row r="56" spans="1:7" x14ac:dyDescent="0.3">
      <c r="A56" s="8"/>
      <c r="B56" s="8" t="s">
        <v>25</v>
      </c>
      <c r="C56" s="8"/>
      <c r="D56" s="8" t="s">
        <v>66</v>
      </c>
      <c r="E56" s="9">
        <v>1</v>
      </c>
      <c r="F56" s="9">
        <f>SUM(G37,G49,G52,G55)</f>
        <v>6544803.3899999997</v>
      </c>
      <c r="G56" s="9">
        <f>ROUND(E56*F56,2)</f>
        <v>6544803.3899999997</v>
      </c>
    </row>
    <row r="57" spans="1:7" x14ac:dyDescent="0.3">
      <c r="A57" s="4" t="s">
        <v>67</v>
      </c>
      <c r="B57" s="4" t="s">
        <v>10</v>
      </c>
      <c r="C57" s="4"/>
      <c r="D57" s="4" t="s">
        <v>68</v>
      </c>
      <c r="E57" s="5">
        <f>E78</f>
        <v>1</v>
      </c>
      <c r="F57" s="5">
        <f>F78</f>
        <v>9004121</v>
      </c>
      <c r="G57" s="5">
        <f>G78</f>
        <v>9004121</v>
      </c>
    </row>
    <row r="58" spans="1:7" x14ac:dyDescent="0.3">
      <c r="A58" s="4" t="s">
        <v>69</v>
      </c>
      <c r="B58" s="4" t="s">
        <v>10</v>
      </c>
      <c r="C58" s="4"/>
      <c r="D58" s="4" t="s">
        <v>70</v>
      </c>
      <c r="E58" s="5">
        <f>E69</f>
        <v>1</v>
      </c>
      <c r="F58" s="5">
        <f>F69</f>
        <v>8961561</v>
      </c>
      <c r="G58" s="5">
        <f>G69</f>
        <v>8961561</v>
      </c>
    </row>
    <row r="59" spans="1:7" x14ac:dyDescent="0.3">
      <c r="A59" s="6" t="s">
        <v>71</v>
      </c>
      <c r="B59" s="6" t="s">
        <v>15</v>
      </c>
      <c r="C59" s="6" t="s">
        <v>63</v>
      </c>
      <c r="D59" s="6" t="s">
        <v>72</v>
      </c>
      <c r="E59" s="7">
        <v>35</v>
      </c>
      <c r="F59" s="7">
        <v>1750</v>
      </c>
      <c r="G59" s="7">
        <f t="shared" ref="G59:G69" si="3">ROUND(E59*F59,2)</f>
        <v>61250</v>
      </c>
    </row>
    <row r="60" spans="1:7" x14ac:dyDescent="0.3">
      <c r="A60" s="6" t="s">
        <v>71</v>
      </c>
      <c r="B60" s="6" t="s">
        <v>15</v>
      </c>
      <c r="C60" s="6" t="s">
        <v>63</v>
      </c>
      <c r="D60" s="6" t="s">
        <v>72</v>
      </c>
      <c r="E60" s="7">
        <v>35</v>
      </c>
      <c r="F60" s="7">
        <v>1750</v>
      </c>
      <c r="G60" s="7">
        <f t="shared" si="3"/>
        <v>61250</v>
      </c>
    </row>
    <row r="61" spans="1:7" x14ac:dyDescent="0.3">
      <c r="A61" s="6" t="s">
        <v>71</v>
      </c>
      <c r="B61" s="6" t="s">
        <v>15</v>
      </c>
      <c r="C61" s="6" t="s">
        <v>63</v>
      </c>
      <c r="D61" s="6" t="s">
        <v>72</v>
      </c>
      <c r="E61" s="7">
        <v>133</v>
      </c>
      <c r="F61" s="7">
        <v>1750</v>
      </c>
      <c r="G61" s="7">
        <f t="shared" si="3"/>
        <v>232750</v>
      </c>
    </row>
    <row r="62" spans="1:7" x14ac:dyDescent="0.3">
      <c r="A62" s="6" t="s">
        <v>71</v>
      </c>
      <c r="B62" s="6" t="s">
        <v>15</v>
      </c>
      <c r="C62" s="6" t="s">
        <v>63</v>
      </c>
      <c r="D62" s="6" t="s">
        <v>72</v>
      </c>
      <c r="E62" s="7">
        <v>5</v>
      </c>
      <c r="F62" s="7">
        <v>1750</v>
      </c>
      <c r="G62" s="7">
        <f t="shared" si="3"/>
        <v>8750</v>
      </c>
    </row>
    <row r="63" spans="1:7" x14ac:dyDescent="0.3">
      <c r="A63" s="6" t="s">
        <v>71</v>
      </c>
      <c r="B63" s="6" t="s">
        <v>15</v>
      </c>
      <c r="C63" s="6" t="s">
        <v>63</v>
      </c>
      <c r="D63" s="6" t="s">
        <v>72</v>
      </c>
      <c r="E63" s="7">
        <v>2</v>
      </c>
      <c r="F63" s="7">
        <v>1750</v>
      </c>
      <c r="G63" s="7">
        <f t="shared" si="3"/>
        <v>3500</v>
      </c>
    </row>
    <row r="64" spans="1:7" x14ac:dyDescent="0.3">
      <c r="A64" s="6" t="s">
        <v>73</v>
      </c>
      <c r="B64" s="6" t="s">
        <v>15</v>
      </c>
      <c r="C64" s="6" t="s">
        <v>63</v>
      </c>
      <c r="D64" s="6" t="s">
        <v>74</v>
      </c>
      <c r="E64" s="7">
        <v>35</v>
      </c>
      <c r="F64" s="7">
        <v>33915</v>
      </c>
      <c r="G64" s="7">
        <f t="shared" si="3"/>
        <v>1187025</v>
      </c>
    </row>
    <row r="65" spans="1:7" x14ac:dyDescent="0.3">
      <c r="A65" s="6" t="s">
        <v>73</v>
      </c>
      <c r="B65" s="6" t="s">
        <v>15</v>
      </c>
      <c r="C65" s="6" t="s">
        <v>63</v>
      </c>
      <c r="D65" s="6" t="s">
        <v>74</v>
      </c>
      <c r="E65" s="7">
        <v>35</v>
      </c>
      <c r="F65" s="7">
        <v>33915</v>
      </c>
      <c r="G65" s="7">
        <f t="shared" si="3"/>
        <v>1187025</v>
      </c>
    </row>
    <row r="66" spans="1:7" x14ac:dyDescent="0.3">
      <c r="A66" s="6" t="s">
        <v>73</v>
      </c>
      <c r="B66" s="6" t="s">
        <v>15</v>
      </c>
      <c r="C66" s="6" t="s">
        <v>63</v>
      </c>
      <c r="D66" s="6" t="s">
        <v>74</v>
      </c>
      <c r="E66" s="7">
        <v>5</v>
      </c>
      <c r="F66" s="7">
        <v>33915</v>
      </c>
      <c r="G66" s="7">
        <f t="shared" si="3"/>
        <v>169575</v>
      </c>
    </row>
    <row r="67" spans="1:7" x14ac:dyDescent="0.3">
      <c r="A67" s="6" t="s">
        <v>73</v>
      </c>
      <c r="B67" s="6" t="s">
        <v>15</v>
      </c>
      <c r="C67" s="6" t="s">
        <v>63</v>
      </c>
      <c r="D67" s="6" t="s">
        <v>74</v>
      </c>
      <c r="E67" s="7">
        <v>2</v>
      </c>
      <c r="F67" s="7">
        <v>33915</v>
      </c>
      <c r="G67" s="7">
        <f t="shared" si="3"/>
        <v>67830</v>
      </c>
    </row>
    <row r="68" spans="1:7" x14ac:dyDescent="0.3">
      <c r="A68" s="6" t="s">
        <v>75</v>
      </c>
      <c r="B68" s="6" t="s">
        <v>15</v>
      </c>
      <c r="C68" s="6" t="s">
        <v>63</v>
      </c>
      <c r="D68" s="6" t="s">
        <v>76</v>
      </c>
      <c r="E68" s="7">
        <v>133</v>
      </c>
      <c r="F68" s="7">
        <v>44982</v>
      </c>
      <c r="G68" s="7">
        <f t="shared" si="3"/>
        <v>5982606</v>
      </c>
    </row>
    <row r="69" spans="1:7" x14ac:dyDescent="0.3">
      <c r="A69" s="8"/>
      <c r="B69" s="8" t="s">
        <v>25</v>
      </c>
      <c r="C69" s="8"/>
      <c r="D69" s="8" t="s">
        <v>77</v>
      </c>
      <c r="E69" s="9">
        <v>1</v>
      </c>
      <c r="F69" s="9">
        <f>SUM(G59,G60,G61,G62,G63,G64,G65,G66,G67,G68)</f>
        <v>8961561</v>
      </c>
      <c r="G69" s="9">
        <f t="shared" si="3"/>
        <v>8961561</v>
      </c>
    </row>
    <row r="70" spans="1:7" x14ac:dyDescent="0.3">
      <c r="A70" s="4" t="s">
        <v>78</v>
      </c>
      <c r="B70" s="4" t="s">
        <v>10</v>
      </c>
      <c r="C70" s="4"/>
      <c r="D70" s="4" t="s">
        <v>79</v>
      </c>
      <c r="E70" s="5">
        <f>E77</f>
        <v>1</v>
      </c>
      <c r="F70" s="5">
        <f>F77</f>
        <v>42560</v>
      </c>
      <c r="G70" s="5">
        <f>G77</f>
        <v>42560</v>
      </c>
    </row>
    <row r="71" spans="1:7" x14ac:dyDescent="0.3">
      <c r="A71" s="6" t="s">
        <v>80</v>
      </c>
      <c r="B71" s="6" t="s">
        <v>15</v>
      </c>
      <c r="C71" s="6" t="s">
        <v>63</v>
      </c>
      <c r="D71" s="6" t="s">
        <v>81</v>
      </c>
      <c r="E71" s="7">
        <v>5</v>
      </c>
      <c r="F71" s="7">
        <v>560</v>
      </c>
      <c r="G71" s="7">
        <f t="shared" ref="G71:G78" si="4">ROUND(E71*F71,2)</f>
        <v>2800</v>
      </c>
    </row>
    <row r="72" spans="1:7" x14ac:dyDescent="0.3">
      <c r="A72" s="6" t="s">
        <v>80</v>
      </c>
      <c r="B72" s="6" t="s">
        <v>15</v>
      </c>
      <c r="C72" s="6" t="s">
        <v>63</v>
      </c>
      <c r="D72" s="6" t="s">
        <v>81</v>
      </c>
      <c r="E72" s="7">
        <v>39</v>
      </c>
      <c r="F72" s="7">
        <v>560</v>
      </c>
      <c r="G72" s="7">
        <f t="shared" si="4"/>
        <v>21840</v>
      </c>
    </row>
    <row r="73" spans="1:7" x14ac:dyDescent="0.3">
      <c r="A73" s="6" t="s">
        <v>80</v>
      </c>
      <c r="B73" s="6" t="s">
        <v>15</v>
      </c>
      <c r="C73" s="6" t="s">
        <v>63</v>
      </c>
      <c r="D73" s="6" t="s">
        <v>81</v>
      </c>
      <c r="E73" s="7">
        <v>5</v>
      </c>
      <c r="F73" s="7">
        <v>560</v>
      </c>
      <c r="G73" s="7">
        <f t="shared" si="4"/>
        <v>2800</v>
      </c>
    </row>
    <row r="74" spans="1:7" x14ac:dyDescent="0.3">
      <c r="A74" s="6" t="s">
        <v>80</v>
      </c>
      <c r="B74" s="6" t="s">
        <v>15</v>
      </c>
      <c r="C74" s="6" t="s">
        <v>63</v>
      </c>
      <c r="D74" s="6" t="s">
        <v>81</v>
      </c>
      <c r="E74" s="7">
        <v>19</v>
      </c>
      <c r="F74" s="7">
        <v>560</v>
      </c>
      <c r="G74" s="7">
        <f t="shared" si="4"/>
        <v>10640</v>
      </c>
    </row>
    <row r="75" spans="1:7" x14ac:dyDescent="0.3">
      <c r="A75" s="6" t="s">
        <v>80</v>
      </c>
      <c r="B75" s="6" t="s">
        <v>15</v>
      </c>
      <c r="C75" s="6" t="s">
        <v>63</v>
      </c>
      <c r="D75" s="6" t="s">
        <v>81</v>
      </c>
      <c r="E75" s="7">
        <v>4</v>
      </c>
      <c r="F75" s="7">
        <v>560</v>
      </c>
      <c r="G75" s="7">
        <f t="shared" si="4"/>
        <v>2240</v>
      </c>
    </row>
    <row r="76" spans="1:7" x14ac:dyDescent="0.3">
      <c r="A76" s="6" t="s">
        <v>80</v>
      </c>
      <c r="B76" s="6" t="s">
        <v>15</v>
      </c>
      <c r="C76" s="6" t="s">
        <v>63</v>
      </c>
      <c r="D76" s="6" t="s">
        <v>81</v>
      </c>
      <c r="E76" s="7">
        <v>4</v>
      </c>
      <c r="F76" s="7">
        <v>560</v>
      </c>
      <c r="G76" s="7">
        <f t="shared" si="4"/>
        <v>2240</v>
      </c>
    </row>
    <row r="77" spans="1:7" x14ac:dyDescent="0.3">
      <c r="A77" s="8"/>
      <c r="B77" s="8" t="s">
        <v>25</v>
      </c>
      <c r="C77" s="8"/>
      <c r="D77" s="8" t="s">
        <v>82</v>
      </c>
      <c r="E77" s="9">
        <v>1</v>
      </c>
      <c r="F77" s="9">
        <f>SUM(G71,G72,G73,G74,G75,G76)</f>
        <v>42560</v>
      </c>
      <c r="G77" s="9">
        <f t="shared" si="4"/>
        <v>42560</v>
      </c>
    </row>
    <row r="78" spans="1:7" x14ac:dyDescent="0.3">
      <c r="A78" s="8"/>
      <c r="B78" s="8" t="s">
        <v>25</v>
      </c>
      <c r="C78" s="8"/>
      <c r="D78" s="8" t="s">
        <v>83</v>
      </c>
      <c r="E78" s="9">
        <v>1</v>
      </c>
      <c r="F78" s="9">
        <f>SUM(G69,G77)</f>
        <v>9004121</v>
      </c>
      <c r="G78" s="9">
        <f t="shared" si="4"/>
        <v>9004121</v>
      </c>
    </row>
    <row r="79" spans="1:7" x14ac:dyDescent="0.3">
      <c r="A79" s="4" t="s">
        <v>84</v>
      </c>
      <c r="B79" s="4" t="s">
        <v>10</v>
      </c>
      <c r="C79" s="4"/>
      <c r="D79" s="4" t="s">
        <v>85</v>
      </c>
      <c r="E79" s="5">
        <f>E86</f>
        <v>1</v>
      </c>
      <c r="F79" s="5">
        <f>F86</f>
        <v>248985.60000000001</v>
      </c>
      <c r="G79" s="5">
        <f>G86</f>
        <v>248985.60000000001</v>
      </c>
    </row>
    <row r="80" spans="1:7" x14ac:dyDescent="0.3">
      <c r="A80" s="4" t="s">
        <v>86</v>
      </c>
      <c r="B80" s="4" t="s">
        <v>10</v>
      </c>
      <c r="C80" s="4"/>
      <c r="D80" s="4" t="s">
        <v>87</v>
      </c>
      <c r="E80" s="5">
        <f>E85</f>
        <v>1</v>
      </c>
      <c r="F80" s="5">
        <f>F85</f>
        <v>248985.60000000001</v>
      </c>
      <c r="G80" s="5">
        <f>G85</f>
        <v>248985.60000000001</v>
      </c>
    </row>
    <row r="81" spans="1:7" x14ac:dyDescent="0.3">
      <c r="A81" s="6" t="s">
        <v>88</v>
      </c>
      <c r="B81" s="6" t="s">
        <v>15</v>
      </c>
      <c r="C81" s="6" t="s">
        <v>63</v>
      </c>
      <c r="D81" s="6" t="s">
        <v>89</v>
      </c>
      <c r="E81" s="7">
        <v>44</v>
      </c>
      <c r="F81" s="7">
        <v>5500</v>
      </c>
      <c r="G81" s="7">
        <f t="shared" ref="G81:G86" si="5">ROUND(E81*F81,2)</f>
        <v>242000</v>
      </c>
    </row>
    <row r="82" spans="1:7" x14ac:dyDescent="0.3">
      <c r="A82" s="6" t="s">
        <v>90</v>
      </c>
      <c r="B82" s="6" t="s">
        <v>15</v>
      </c>
      <c r="C82" s="6" t="s">
        <v>63</v>
      </c>
      <c r="D82" s="6" t="s">
        <v>91</v>
      </c>
      <c r="E82" s="7">
        <v>2</v>
      </c>
      <c r="F82" s="7">
        <v>590</v>
      </c>
      <c r="G82" s="7">
        <f t="shared" si="5"/>
        <v>1180</v>
      </c>
    </row>
    <row r="83" spans="1:7" x14ac:dyDescent="0.3">
      <c r="A83" s="6" t="s">
        <v>92</v>
      </c>
      <c r="B83" s="6" t="s">
        <v>15</v>
      </c>
      <c r="C83" s="6" t="s">
        <v>63</v>
      </c>
      <c r="D83" s="6" t="s">
        <v>93</v>
      </c>
      <c r="E83" s="7">
        <v>3</v>
      </c>
      <c r="F83" s="7">
        <v>708</v>
      </c>
      <c r="G83" s="7">
        <f t="shared" si="5"/>
        <v>2124</v>
      </c>
    </row>
    <row r="84" spans="1:7" x14ac:dyDescent="0.3">
      <c r="A84" s="6" t="s">
        <v>94</v>
      </c>
      <c r="B84" s="6" t="s">
        <v>15</v>
      </c>
      <c r="C84" s="6" t="s">
        <v>63</v>
      </c>
      <c r="D84" s="6" t="s">
        <v>95</v>
      </c>
      <c r="E84" s="7">
        <v>2</v>
      </c>
      <c r="F84" s="7">
        <v>1840.8</v>
      </c>
      <c r="G84" s="7">
        <f t="shared" si="5"/>
        <v>3681.6</v>
      </c>
    </row>
    <row r="85" spans="1:7" x14ac:dyDescent="0.3">
      <c r="A85" s="8"/>
      <c r="B85" s="8" t="s">
        <v>25</v>
      </c>
      <c r="C85" s="8"/>
      <c r="D85" s="8" t="s">
        <v>96</v>
      </c>
      <c r="E85" s="9">
        <v>1</v>
      </c>
      <c r="F85" s="9">
        <f>SUM(G81,G82,G83,G84)</f>
        <v>248985.60000000001</v>
      </c>
      <c r="G85" s="9">
        <f t="shared" si="5"/>
        <v>248985.60000000001</v>
      </c>
    </row>
    <row r="86" spans="1:7" x14ac:dyDescent="0.3">
      <c r="A86" s="8"/>
      <c r="B86" s="8" t="s">
        <v>25</v>
      </c>
      <c r="C86" s="8"/>
      <c r="D86" s="8" t="s">
        <v>97</v>
      </c>
      <c r="E86" s="9">
        <v>1</v>
      </c>
      <c r="F86" s="9">
        <f>SUM(G85)</f>
        <v>248985.60000000001</v>
      </c>
      <c r="G86" s="9">
        <f t="shared" si="5"/>
        <v>248985.60000000001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casanova</cp:lastModifiedBy>
  <dcterms:created xsi:type="dcterms:W3CDTF">2026-04-08T00:51:07Z</dcterms:created>
  <dcterms:modified xsi:type="dcterms:W3CDTF">2026-04-20T21:36:44Z</dcterms:modified>
</cp:coreProperties>
</file>