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Código</t>
        </is>
      </c>
      <c r="B1" t="inlineStr">
        <is>
          <t>Nat</t>
        </is>
      </c>
      <c r="C1" t="inlineStr">
        <is>
          <t>Ud</t>
        </is>
      </c>
      <c r="D1" t="inlineStr">
        <is>
          <t>Resumen</t>
        </is>
      </c>
      <c r="E1" t="inlineStr">
        <is>
          <t>CanPres</t>
        </is>
      </c>
      <c r="F1" t="inlineStr">
        <is>
          <t>PrPres</t>
        </is>
      </c>
      <c r="G1" t="inlineStr">
        <is>
          <t>ImpPres</t>
        </is>
      </c>
      <c r="H1" t="inlineStr">
        <is>
          <t>Corrección Código</t>
        </is>
      </c>
      <c r="I1" t="inlineStr">
        <is>
          <t>Corrección Cantidad</t>
        </is>
      </c>
      <c r="J1" t="inlineStr">
        <is>
          <t>Corrección Unidad</t>
        </is>
      </c>
      <c r="K1" t="inlineStr">
        <is>
          <t>Tipo Corrección</t>
        </is>
      </c>
      <c r="L1" t="inlineStr">
        <is>
          <t>Notas Revisor</t>
        </is>
      </c>
    </row>
    <row r="2">
      <c r="A2" t="inlineStr">
        <is>
          <t>DUP-CH-01</t>
        </is>
      </c>
      <c r="B2" t="inlineStr">
        <is>
          <t>Capítulo</t>
        </is>
      </c>
      <c r="C2" t="inlineStr"/>
      <c r="D2" t="inlineStr">
        <is>
          <t>ESTRUCTURA</t>
        </is>
      </c>
      <c r="E2">
        <f>E22</f>
        <v/>
      </c>
      <c r="F2">
        <f>F22</f>
        <v/>
      </c>
      <c r="G2">
        <f>G22</f>
        <v/>
      </c>
      <c r="H2" t="inlineStr"/>
      <c r="I2" t="inlineStr"/>
      <c r="J2" t="inlineStr"/>
      <c r="K2" t="inlineStr"/>
      <c r="L2" t="inlineStr"/>
    </row>
    <row r="3">
      <c r="A3" t="inlineStr">
        <is>
          <t>DUP-CH-01.01</t>
        </is>
      </c>
      <c r="B3" t="inlineStr">
        <is>
          <t>Capítulo</t>
        </is>
      </c>
      <c r="C3" t="inlineStr"/>
      <c r="D3" t="inlineStr">
        <is>
          <t>HORMIGON ARMADO</t>
        </is>
      </c>
      <c r="E3">
        <f>E14</f>
        <v/>
      </c>
      <c r="F3">
        <f>F14</f>
        <v/>
      </c>
      <c r="G3">
        <f>G14</f>
        <v/>
      </c>
      <c r="H3" t="inlineStr"/>
      <c r="I3" t="inlineStr"/>
      <c r="J3" t="inlineStr"/>
      <c r="K3" t="inlineStr"/>
      <c r="L3" t="inlineStr"/>
    </row>
    <row r="4">
      <c r="A4" t="inlineStr">
        <is>
          <t>P030322</t>
        </is>
      </c>
      <c r="B4" t="inlineStr">
        <is>
          <t>Partida</t>
        </is>
      </c>
      <c r="C4" t="inlineStr">
        <is>
          <t>m3</t>
        </is>
      </c>
      <c r="D4" t="inlineStr">
        <is>
          <t>Columna C3  0.80 x 0.50 - 20 Ø1", 3 Est Ø3/8"@0.10</t>
        </is>
      </c>
      <c r="E4" t="n">
        <v>0.448</v>
      </c>
      <c r="F4" t="n">
        <v>56653.47</v>
      </c>
      <c r="G4">
        <f>ROUND(E6*F6,2)</f>
        <v/>
      </c>
      <c r="H4" t="inlineStr"/>
      <c r="I4" t="inlineStr"/>
      <c r="J4" t="inlineStr"/>
      <c r="K4" t="inlineStr"/>
      <c r="L4" t="inlineStr"/>
    </row>
    <row r="5">
      <c r="A5" t="inlineStr">
        <is>
          <t>P030322</t>
        </is>
      </c>
      <c r="B5" t="inlineStr">
        <is>
          <t>Partida</t>
        </is>
      </c>
      <c r="C5" t="inlineStr">
        <is>
          <t>m3</t>
        </is>
      </c>
      <c r="D5" t="inlineStr">
        <is>
          <t>Columna C3  0.80 x 0.50 - 20 Ø1", 3 Est Ø3/8"@0.10</t>
        </is>
      </c>
      <c r="E5" t="n">
        <v>0.448</v>
      </c>
      <c r="F5" t="n">
        <v>56653.47</v>
      </c>
      <c r="G5">
        <f>ROUND(E7*F7,2)</f>
        <v/>
      </c>
      <c r="H5" t="inlineStr"/>
      <c r="I5" t="inlineStr"/>
      <c r="J5" t="inlineStr"/>
      <c r="K5" t="inlineStr"/>
      <c r="L5" t="inlineStr"/>
    </row>
    <row r="6">
      <c r="A6" t="inlineStr">
        <is>
          <t>DUP-0001</t>
        </is>
      </c>
      <c r="B6" t="inlineStr">
        <is>
          <t>Partida</t>
        </is>
      </c>
      <c r="C6" t="inlineStr">
        <is>
          <t>m2</t>
        </is>
      </c>
      <c r="D6" t="inlineStr">
        <is>
          <t>Elemento estructural</t>
        </is>
      </c>
      <c r="E6" t="n">
        <v>25817.6100000001</v>
      </c>
      <c r="G6">
        <f>ROUND(E8*F8,2)</f>
        <v/>
      </c>
      <c r="H6" t="inlineStr"/>
      <c r="I6" t="inlineStr"/>
      <c r="J6" t="inlineStr"/>
      <c r="K6" t="inlineStr"/>
      <c r="L6" t="inlineStr"/>
    </row>
    <row r="7">
      <c r="A7" t="inlineStr">
        <is>
          <t>DUP-0002</t>
        </is>
      </c>
      <c r="B7" t="inlineStr">
        <is>
          <t>Partida</t>
        </is>
      </c>
      <c r="C7" t="inlineStr">
        <is>
          <t>m2</t>
        </is>
      </c>
      <c r="D7" t="inlineStr">
        <is>
          <t>Elemento estructural</t>
        </is>
      </c>
      <c r="E7" t="n">
        <v>172787.5599999998</v>
      </c>
      <c r="G7">
        <f>ROUND(E9*F9,2)</f>
        <v/>
      </c>
      <c r="H7" t="inlineStr"/>
      <c r="I7" t="inlineStr"/>
      <c r="J7" t="inlineStr"/>
      <c r="K7" t="inlineStr"/>
      <c r="L7" t="inlineStr"/>
    </row>
    <row r="8">
      <c r="A8" t="inlineStr">
        <is>
          <t>DUP-0003</t>
        </is>
      </c>
      <c r="B8" t="inlineStr">
        <is>
          <t>Partida</t>
        </is>
      </c>
      <c r="C8" t="inlineStr">
        <is>
          <t>m2</t>
        </is>
      </c>
      <c r="D8" t="inlineStr">
        <is>
          <t>Elemento estructural</t>
        </is>
      </c>
      <c r="E8" t="n">
        <v>1000000</v>
      </c>
      <c r="G8">
        <f>ROUND(E10*F10,2)</f>
        <v/>
      </c>
      <c r="H8" t="inlineStr"/>
      <c r="I8" t="inlineStr"/>
      <c r="J8" t="inlineStr"/>
      <c r="K8" t="inlineStr"/>
      <c r="L8" t="inlineStr"/>
    </row>
    <row r="9">
      <c r="A9" t="inlineStr">
        <is>
          <t>P0303105</t>
        </is>
      </c>
      <c r="B9" t="inlineStr">
        <is>
          <t>Partida</t>
        </is>
      </c>
      <c r="C9" t="inlineStr">
        <is>
          <t>m3</t>
        </is>
      </c>
      <c r="D9" t="inlineStr">
        <is>
          <t>Viga de Amarre (0.30m x 0.20m)</t>
        </is>
      </c>
      <c r="E9" t="n">
        <v>51570.9</v>
      </c>
      <c r="F9" t="n">
        <v>41607.18</v>
      </c>
      <c r="G9">
        <f>ROUND(E11*F11,2)</f>
        <v/>
      </c>
      <c r="H9" t="inlineStr"/>
      <c r="I9" t="inlineStr"/>
      <c r="J9" t="inlineStr"/>
      <c r="K9" t="inlineStr"/>
      <c r="L9" t="inlineStr"/>
    </row>
    <row r="10">
      <c r="A10" t="inlineStr">
        <is>
          <t>P0303105</t>
        </is>
      </c>
      <c r="B10" t="inlineStr">
        <is>
          <t>Partida</t>
        </is>
      </c>
      <c r="C10" t="inlineStr">
        <is>
          <t>m3</t>
        </is>
      </c>
      <c r="D10" t="inlineStr">
        <is>
          <t>Viga de Amarre (0.30m x 0.20m)</t>
        </is>
      </c>
      <c r="E10" t="n">
        <v>2916</v>
      </c>
      <c r="F10" t="n">
        <v>41607.18</v>
      </c>
      <c r="G10">
        <f>ROUND(E12*F12,2)</f>
        <v/>
      </c>
      <c r="H10" t="inlineStr"/>
      <c r="I10" t="inlineStr"/>
      <c r="J10" t="inlineStr"/>
      <c r="K10" t="inlineStr"/>
      <c r="L10" t="inlineStr"/>
    </row>
    <row r="11">
      <c r="A11" t="inlineStr">
        <is>
          <t>P0303105</t>
        </is>
      </c>
      <c r="B11" t="inlineStr">
        <is>
          <t>Partida</t>
        </is>
      </c>
      <c r="C11" t="inlineStr">
        <is>
          <t>m3</t>
        </is>
      </c>
      <c r="D11" t="inlineStr">
        <is>
          <t>Viga de Amarre (0.30m x 0.20m)</t>
        </is>
      </c>
      <c r="E11" t="n">
        <v>76762.5</v>
      </c>
      <c r="F11" t="n">
        <v>41607.18</v>
      </c>
      <c r="G11">
        <f>ROUND(E13*F13,2)</f>
        <v/>
      </c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Subtotal/Cierre de capítulo</t>
        </is>
      </c>
      <c r="C12" t="inlineStr"/>
      <c r="D12" t="inlineStr">
        <is>
          <t>Subtotal HORMIGON ARMADO</t>
        </is>
      </c>
      <c r="E12" t="n">
        <v>1</v>
      </c>
      <c r="F12">
        <f>SUM(G6,G7,G8,G9,G10,G11,G12,G13)</f>
        <v/>
      </c>
      <c r="G12">
        <f>ROUND(E14*F14,2)</f>
        <v/>
      </c>
      <c r="H12" t="inlineStr"/>
      <c r="I12" t="inlineStr"/>
      <c r="J12" t="inlineStr"/>
      <c r="K12" t="inlineStr"/>
      <c r="L12" t="inlineStr"/>
    </row>
    <row r="13">
      <c r="A13" t="inlineStr">
        <is>
          <t>DUP-CH-01.02</t>
        </is>
      </c>
      <c r="B13" t="inlineStr">
        <is>
          <t>Capítulo</t>
        </is>
      </c>
      <c r="C13" t="inlineStr"/>
      <c r="D13" t="inlineStr">
        <is>
          <t>ENCOFRADOS</t>
        </is>
      </c>
      <c r="E13">
        <f>E21</f>
        <v/>
      </c>
      <c r="F13">
        <f>F21</f>
        <v/>
      </c>
      <c r="G13">
        <f>G21</f>
        <v/>
      </c>
      <c r="H13" t="inlineStr"/>
      <c r="I13" t="inlineStr"/>
      <c r="J13" t="inlineStr"/>
      <c r="K13" t="inlineStr"/>
      <c r="L13" t="inlineStr"/>
    </row>
    <row r="14">
      <c r="A14" t="inlineStr">
        <is>
          <t>H0502291</t>
        </is>
      </c>
      <c r="B14" t="inlineStr">
        <is>
          <t>Partida</t>
        </is>
      </c>
      <c r="C14" t="inlineStr">
        <is>
          <t>m2</t>
        </is>
      </c>
      <c r="D14" t="inlineStr">
        <is>
          <t>M.O. Encofrado columnna</t>
        </is>
      </c>
      <c r="E14" t="n">
        <v>4.48</v>
      </c>
      <c r="F14" t="n">
        <v>806</v>
      </c>
      <c r="G14">
        <f>ROUND(E16*F16,2)</f>
        <v/>
      </c>
      <c r="H14" t="inlineStr"/>
      <c r="I14" t="inlineStr"/>
      <c r="J14" t="inlineStr"/>
      <c r="K14" t="inlineStr"/>
      <c r="L14" t="inlineStr"/>
    </row>
    <row r="15">
      <c r="A15" t="inlineStr">
        <is>
          <t>H0502291</t>
        </is>
      </c>
      <c r="B15" t="inlineStr">
        <is>
          <t>Partida</t>
        </is>
      </c>
      <c r="C15" t="inlineStr">
        <is>
          <t>m2</t>
        </is>
      </c>
      <c r="D15" t="inlineStr">
        <is>
          <t>M.O. Encofrado columnna</t>
        </is>
      </c>
      <c r="E15" t="n">
        <v>4.48</v>
      </c>
      <c r="F15" t="n">
        <v>806</v>
      </c>
      <c r="G15">
        <f>ROUND(E17*F17,2)</f>
        <v/>
      </c>
      <c r="H15" t="inlineStr"/>
      <c r="I15" t="inlineStr"/>
      <c r="J15" t="inlineStr"/>
      <c r="K15" t="inlineStr"/>
      <c r="L15" t="inlineStr"/>
    </row>
    <row r="16">
      <c r="A16" t="inlineStr">
        <is>
          <t>H0502195</t>
        </is>
      </c>
      <c r="B16" t="inlineStr">
        <is>
          <t>Partida</t>
        </is>
      </c>
      <c r="C16" t="inlineStr">
        <is>
          <t>m2</t>
        </is>
      </c>
      <c r="D16" t="inlineStr">
        <is>
          <t>M.O. Encofrado Vigas</t>
        </is>
      </c>
      <c r="E16" t="n">
        <v>446947.8</v>
      </c>
      <c r="F16" t="n">
        <v>1400</v>
      </c>
      <c r="G16">
        <f>ROUND(E18*F18,2)</f>
        <v/>
      </c>
      <c r="H16" t="inlineStr"/>
      <c r="I16" t="inlineStr"/>
      <c r="J16" t="inlineStr"/>
      <c r="K16" t="inlineStr"/>
      <c r="L16" t="inlineStr"/>
    </row>
    <row r="17">
      <c r="A17" t="inlineStr">
        <is>
          <t>H0502195</t>
        </is>
      </c>
      <c r="B17" t="inlineStr">
        <is>
          <t>Partida</t>
        </is>
      </c>
      <c r="C17" t="inlineStr">
        <is>
          <t>m2</t>
        </is>
      </c>
      <c r="D17" t="inlineStr">
        <is>
          <t>M.O. Encofrado Vigas</t>
        </is>
      </c>
      <c r="E17" t="n">
        <v>25272</v>
      </c>
      <c r="F17" t="n">
        <v>1400</v>
      </c>
      <c r="G17">
        <f>ROUND(E19*F19,2)</f>
        <v/>
      </c>
      <c r="H17" t="inlineStr"/>
      <c r="I17" t="inlineStr"/>
      <c r="J17" t="inlineStr"/>
      <c r="K17" t="inlineStr"/>
      <c r="L17" t="inlineStr"/>
    </row>
    <row r="18">
      <c r="A18" t="inlineStr">
        <is>
          <t>H0502195</t>
        </is>
      </c>
      <c r="B18" t="inlineStr">
        <is>
          <t>Partida</t>
        </is>
      </c>
      <c r="C18" t="inlineStr">
        <is>
          <t>m2</t>
        </is>
      </c>
      <c r="D18" t="inlineStr">
        <is>
          <t>M.O. Encofrado Vigas</t>
        </is>
      </c>
      <c r="E18" t="n">
        <v>665275</v>
      </c>
      <c r="F18" t="n">
        <v>1400</v>
      </c>
      <c r="G18">
        <f>ROUND(E20*F20,2)</f>
        <v/>
      </c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Subtotal/Cierre de capítulo</t>
        </is>
      </c>
      <c r="C19" t="inlineStr"/>
      <c r="D19" t="inlineStr">
        <is>
          <t>Subtotal ENCOFRADOS</t>
        </is>
      </c>
      <c r="E19" t="n">
        <v>1</v>
      </c>
      <c r="F19">
        <f>SUM(G16,G17,G18,G19,G20)</f>
        <v/>
      </c>
      <c r="G19">
        <f>ROUND(E21*F21,2)</f>
        <v/>
      </c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Subtotal/Cierre de capítulo</t>
        </is>
      </c>
      <c r="C20" t="inlineStr"/>
      <c r="D20" t="inlineStr">
        <is>
          <t>Subtotal ESTRUCTURA</t>
        </is>
      </c>
      <c r="E20" t="n">
        <v>1</v>
      </c>
      <c r="F20">
        <f>SUM(G14,G21)</f>
        <v/>
      </c>
      <c r="G20">
        <f>ROUND(E22*F22,2)</f>
        <v/>
      </c>
      <c r="H20" t="inlineStr"/>
      <c r="I20" t="inlineStr"/>
      <c r="J20" t="inlineStr"/>
      <c r="K20" t="inlineStr"/>
      <c r="L20" t="inlineStr"/>
    </row>
    <row r="21">
      <c r="A21" t="inlineStr">
        <is>
          <t>DUP-CH-06</t>
        </is>
      </c>
      <c r="B21" t="inlineStr">
        <is>
          <t>Capítulo</t>
        </is>
      </c>
      <c r="C21" t="inlineStr"/>
      <c r="D21" t="inlineStr">
        <is>
          <t>CARPINTERIAS</t>
        </is>
      </c>
      <c r="E21">
        <f>E31</f>
        <v/>
      </c>
      <c r="F21">
        <f>F31</f>
        <v/>
      </c>
      <c r="G21">
        <f>G31</f>
        <v/>
      </c>
      <c r="H21" t="inlineStr"/>
      <c r="I21" t="inlineStr"/>
      <c r="J21" t="inlineStr"/>
      <c r="K21" t="inlineStr"/>
      <c r="L21" t="inlineStr"/>
    </row>
    <row r="22">
      <c r="A22" t="inlineStr">
        <is>
          <t>DUP-CH-06.01</t>
        </is>
      </c>
      <c r="B22" t="inlineStr">
        <is>
          <t>Capítulo</t>
        </is>
      </c>
      <c r="C22" t="inlineStr"/>
      <c r="D22" t="inlineStr">
        <is>
          <t>PUERTAS</t>
        </is>
      </c>
      <c r="E22">
        <f>E27</f>
        <v/>
      </c>
      <c r="F22">
        <f>F27</f>
        <v/>
      </c>
      <c r="G22">
        <f>G27</f>
        <v/>
      </c>
      <c r="H22" t="inlineStr"/>
      <c r="I22" t="inlineStr"/>
      <c r="J22" t="inlineStr"/>
      <c r="K22" t="inlineStr"/>
      <c r="L22" t="inlineStr"/>
    </row>
    <row r="23">
      <c r="A23" t="inlineStr">
        <is>
          <t>H08P1010</t>
        </is>
      </c>
      <c r="B23" t="inlineStr">
        <is>
          <t>Partida</t>
        </is>
      </c>
      <c r="C23" t="inlineStr">
        <is>
          <t>unit</t>
        </is>
      </c>
      <c r="D23" t="inlineStr">
        <is>
          <t>Inst. Puerta metalica blanca Inc. Llavin</t>
        </is>
      </c>
      <c r="E23" t="n">
        <v>4</v>
      </c>
      <c r="F23" t="n">
        <v>3275</v>
      </c>
      <c r="G23">
        <f>ROUND(E25*F25,2)</f>
        <v/>
      </c>
      <c r="H23" t="inlineStr"/>
      <c r="I23" t="inlineStr"/>
      <c r="J23" t="inlineStr"/>
      <c r="K23" t="inlineStr"/>
      <c r="L23" t="inlineStr"/>
    </row>
    <row r="24">
      <c r="A24" t="inlineStr">
        <is>
          <t>M0811170</t>
        </is>
      </c>
      <c r="B24" t="inlineStr">
        <is>
          <t>Partida</t>
        </is>
      </c>
      <c r="C24" t="inlineStr">
        <is>
          <t>unit</t>
        </is>
      </c>
      <c r="D24" t="inlineStr">
        <is>
          <t>Llavín Stanley para puertas</t>
        </is>
      </c>
      <c r="E24" t="n">
        <v>4</v>
      </c>
      <c r="F24" t="n">
        <v>1750</v>
      </c>
      <c r="G24">
        <f>ROUND(E26*F26,2)</f>
        <v/>
      </c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Subtotal/Cierre de capítulo</t>
        </is>
      </c>
      <c r="C25" t="inlineStr"/>
      <c r="D25" t="inlineStr">
        <is>
          <t>Subtotal PUERTAS</t>
        </is>
      </c>
      <c r="E25" t="n">
        <v>1</v>
      </c>
      <c r="F25">
        <f>SUM(G25,G26)</f>
        <v/>
      </c>
      <c r="G25">
        <f>ROUND(E27*F27,2)</f>
        <v/>
      </c>
      <c r="H25" t="inlineStr"/>
      <c r="I25" t="inlineStr"/>
      <c r="J25" t="inlineStr"/>
      <c r="K25" t="inlineStr"/>
      <c r="L25" t="inlineStr"/>
    </row>
    <row r="26">
      <c r="A26" t="inlineStr">
        <is>
          <t>DUP-CH-06.02</t>
        </is>
      </c>
      <c r="B26" t="inlineStr">
        <is>
          <t>Capítulo</t>
        </is>
      </c>
      <c r="C26" t="inlineStr"/>
      <c r="D26" t="inlineStr">
        <is>
          <t>VENTANAS</t>
        </is>
      </c>
      <c r="E26">
        <f>E30</f>
        <v/>
      </c>
      <c r="F26">
        <f>F30</f>
        <v/>
      </c>
      <c r="G26">
        <f>G30</f>
        <v/>
      </c>
      <c r="H26" t="inlineStr"/>
      <c r="I26" t="inlineStr"/>
      <c r="J26" t="inlineStr"/>
      <c r="K26" t="inlineStr"/>
      <c r="L26" t="inlineStr"/>
    </row>
    <row r="27">
      <c r="A27" t="inlineStr">
        <is>
          <t>H140900</t>
        </is>
      </c>
      <c r="B27" t="inlineStr">
        <is>
          <t>Partida</t>
        </is>
      </c>
      <c r="C27" t="inlineStr">
        <is>
          <t>unit</t>
        </is>
      </c>
      <c r="D27" t="inlineStr">
        <is>
          <t>Mano de obra instalación mampara</t>
        </is>
      </c>
      <c r="E27" t="n">
        <v>10</v>
      </c>
      <c r="F27" t="n">
        <v>1500</v>
      </c>
      <c r="G27">
        <f>ROUND(E29*F29,2)</f>
        <v/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Subtotal/Cierre de capítulo</t>
        </is>
      </c>
      <c r="C28" t="inlineStr"/>
      <c r="D28" t="inlineStr">
        <is>
          <t>Subtotal VENTANAS</t>
        </is>
      </c>
      <c r="E28" t="n">
        <v>1</v>
      </c>
      <c r="F28">
        <f>SUM(G29)</f>
        <v/>
      </c>
      <c r="G28">
        <f>ROUND(E30*F30,2)</f>
        <v/>
      </c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Subtotal/Cierre de capítulo</t>
        </is>
      </c>
      <c r="C29" t="inlineStr"/>
      <c r="D29" t="inlineStr">
        <is>
          <t>Subtotal CARPINTERIAS</t>
        </is>
      </c>
      <c r="E29" t="n">
        <v>1</v>
      </c>
      <c r="F29">
        <f>SUM(G27,G30)</f>
        <v/>
      </c>
      <c r="G29">
        <f>ROUND(E31*F31,2)</f>
        <v/>
      </c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2026-04-06T18:55:32Z</dcterms:created>
  <dcterms:modified xsi:type="dcterms:W3CDTF">2026-04-06T18:55:32Z</dcterms:modified>
</cp:coreProperties>
</file>