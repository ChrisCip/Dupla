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628"/>
  <workbookPr codeName="ThisWorkbook"/>
  <mc:AlternateContent xmlns:mc="http://schemas.openxmlformats.org/markup-compatibility/2006">
    <mc:Choice Requires="x15">
      <x15ac:absPath xmlns:x15ac="http://schemas.microsoft.com/office/spreadsheetml/2010/11/ac" url="K:\1. DUPLA\1. PUNTACANA\LAGOS\LAS NASAS 09\PROCEDIMIENTOS\PLIEGO DE CONDICIONES\"/>
    </mc:Choice>
  </mc:AlternateContent>
  <xr:revisionPtr revIDLastSave="0" documentId="13_ncr:1_{3466BAF5-22E8-42F1-B3D3-F07C7EE38838}" xr6:coauthVersionLast="47" xr6:coauthVersionMax="47" xr10:uidLastSave="{00000000-0000-0000-0000-000000000000}"/>
  <bookViews>
    <workbookView xWindow="-120" yWindow="-120" windowWidth="29040" windowHeight="15720" activeTab="1" xr2:uid="{00000000-000D-0000-FFFF-FFFF00000000}"/>
  </bookViews>
  <sheets>
    <sheet name="Base de datos" sheetId="7" r:id="rId1"/>
    <sheet name="RESUMEN" sheetId="1" r:id="rId2"/>
    <sheet name="ACTA DE AVANCE DE INFORMACIÓN 2" sheetId="3" state="hidden" r:id="rId3"/>
    <sheet name="ACTA DE AVANCE DE MODIFICACÓN" sheetId="5" state="hidden" r:id="rId4"/>
  </sheets>
  <definedNames>
    <definedName name="_xlnm._FilterDatabase" localSheetId="2" hidden="1">'ACTA DE AVANCE DE INFORMACIÓN 2'!$A$7:$I$7</definedName>
    <definedName name="_xlnm._FilterDatabase" localSheetId="3" hidden="1">'ACTA DE AVANCE DE MODIFICACÓN'!$A$7:$G$7</definedName>
    <definedName name="_xlnm._FilterDatabase" localSheetId="1" hidden="1">RESUMEN!$C$33:$E$179</definedName>
    <definedName name="_xlnm.Print_Area" localSheetId="2">'ACTA DE AVANCE DE INFORMACIÓN 2'!$A$1:$P$33</definedName>
    <definedName name="_xlnm.Print_Area" localSheetId="3">'ACTA DE AVANCE DE MODIFICACÓN'!$A$1:$G$34</definedName>
    <definedName name="_xlnm.Print_Area" localSheetId="0">'Base de datos'!$A$1:$B$163</definedName>
    <definedName name="_xlnm.Print_Area" localSheetId="1">RESUMEN!$A$1:$G$183</definedName>
    <definedName name="Column1">'Base de datos'!$G$73:$G$78</definedName>
    <definedName name="ESTADO">Table2[[ESTADO ]]</definedName>
  </definedNames>
  <calcPr calcId="19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A180" i="1" l="1"/>
  <c r="B40" i="1"/>
  <c r="B39" i="1"/>
  <c r="B101" i="1"/>
  <c r="B73" i="1"/>
  <c r="B71" i="1"/>
  <c r="B72" i="1"/>
  <c r="B38" i="1"/>
  <c r="B37" i="1"/>
  <c r="B30" i="1"/>
  <c r="B29" i="1"/>
  <c r="B70" i="1"/>
  <c r="B140" i="1"/>
  <c r="B139" i="1"/>
  <c r="B177" i="1"/>
  <c r="B168" i="1"/>
  <c r="B176" i="1" l="1"/>
  <c r="B175" i="1"/>
  <c r="B172" i="1"/>
  <c r="B173" i="1"/>
  <c r="B174" i="1"/>
  <c r="B171" i="1"/>
  <c r="B164" i="1"/>
  <c r="B165" i="1"/>
  <c r="B166" i="1"/>
  <c r="B167" i="1"/>
  <c r="B162" i="1"/>
  <c r="B163" i="1"/>
  <c r="B160" i="1"/>
  <c r="B161" i="1"/>
  <c r="B159" i="1"/>
  <c r="B158" i="1"/>
  <c r="B155" i="1"/>
  <c r="B154" i="1"/>
  <c r="B153" i="1"/>
  <c r="B152" i="1"/>
  <c r="B151" i="1"/>
  <c r="B150" i="1"/>
  <c r="B149" i="1"/>
  <c r="B148" i="1"/>
  <c r="B147" i="1"/>
  <c r="B146" i="1"/>
  <c r="B145" i="1"/>
  <c r="B144" i="1"/>
  <c r="B143" i="1"/>
  <c r="B138" i="1"/>
  <c r="B137" i="1"/>
  <c r="B136" i="1"/>
  <c r="B135" i="1"/>
  <c r="B134" i="1"/>
  <c r="B132" i="1"/>
  <c r="B133" i="1"/>
  <c r="B130" i="1"/>
  <c r="B131" i="1"/>
  <c r="B128" i="1"/>
  <c r="B129" i="1"/>
  <c r="B127" i="1"/>
  <c r="B126" i="1"/>
  <c r="B123" i="1"/>
  <c r="B122" i="1"/>
  <c r="B121" i="1"/>
  <c r="B120" i="1"/>
  <c r="B119" i="1"/>
  <c r="B118" i="1"/>
  <c r="B117" i="1"/>
  <c r="B116" i="1"/>
  <c r="B115" i="1"/>
  <c r="B114" i="1"/>
  <c r="B113" i="1"/>
  <c r="B112" i="1"/>
  <c r="B111" i="1"/>
  <c r="B48" i="1"/>
  <c r="B46" i="1"/>
  <c r="B47" i="1"/>
  <c r="B45" i="1"/>
  <c r="B44" i="1"/>
  <c r="B43" i="1"/>
  <c r="B36" i="1"/>
  <c r="B35" i="1"/>
  <c r="B34" i="1"/>
  <c r="B28" i="1"/>
  <c r="B27" i="1"/>
  <c r="B26" i="1"/>
  <c r="B25" i="1"/>
  <c r="B10" i="1"/>
  <c r="B11" i="1"/>
  <c r="B12" i="1"/>
  <c r="B13" i="1"/>
  <c r="B14" i="1"/>
  <c r="B15" i="1"/>
  <c r="B77" i="1"/>
  <c r="B78" i="1"/>
  <c r="B79" i="1"/>
  <c r="B80" i="1"/>
  <c r="B81" i="1"/>
  <c r="B82" i="1"/>
  <c r="B83" i="1"/>
  <c r="B84" i="1"/>
  <c r="B85" i="1"/>
  <c r="B86" i="1"/>
  <c r="B87" i="1"/>
  <c r="B88" i="1"/>
  <c r="B89" i="1"/>
  <c r="B90" i="1"/>
  <c r="B91" i="1"/>
  <c r="B92" i="1"/>
  <c r="B93" i="1"/>
  <c r="B94" i="1"/>
  <c r="B95" i="1"/>
  <c r="B96" i="1"/>
  <c r="B97" i="1"/>
  <c r="B98" i="1"/>
  <c r="B99" i="1"/>
  <c r="B100" i="1"/>
  <c r="B102" i="1"/>
  <c r="B103" i="1"/>
  <c r="B104" i="1"/>
  <c r="B105" i="1"/>
  <c r="B106" i="1"/>
  <c r="B107" i="1"/>
  <c r="B76" i="1"/>
  <c r="B52" i="1"/>
  <c r="B53" i="1"/>
  <c r="B54" i="1"/>
  <c r="B55" i="1"/>
  <c r="B56" i="1"/>
  <c r="B57" i="1"/>
  <c r="B58" i="1"/>
  <c r="B59" i="1"/>
  <c r="B60" i="1"/>
  <c r="B61" i="1"/>
  <c r="B62" i="1"/>
  <c r="B63" i="1"/>
  <c r="B64" i="1"/>
  <c r="B65" i="1"/>
  <c r="B66" i="1"/>
  <c r="B67" i="1"/>
  <c r="B68" i="1"/>
  <c r="B69" i="1"/>
  <c r="B51" i="1"/>
  <c r="B22" i="1"/>
  <c r="B21" i="1"/>
  <c r="B20" i="1"/>
  <c r="B19" i="1"/>
  <c r="B18" i="1"/>
  <c r="G172" i="1" l="1"/>
  <c r="G173" i="1" s="1"/>
  <c r="G174" i="1" s="1"/>
  <c r="G175" i="1" s="1"/>
  <c r="G176" i="1" s="1"/>
  <c r="G159" i="1"/>
  <c r="G160" i="1" s="1"/>
  <c r="G161" i="1" s="1"/>
  <c r="G162" i="1" s="1"/>
  <c r="G163" i="1" s="1"/>
  <c r="G164" i="1" s="1"/>
  <c r="G165" i="1" s="1"/>
  <c r="G166" i="1" s="1"/>
  <c r="G167" i="1" s="1"/>
  <c r="G144" i="1"/>
  <c r="G145" i="1" s="1"/>
  <c r="G146" i="1" s="1"/>
  <c r="G147" i="1" s="1"/>
  <c r="G148" i="1" s="1"/>
  <c r="G149" i="1" s="1"/>
  <c r="G150" i="1" s="1"/>
  <c r="G151" i="1" s="1"/>
  <c r="G152" i="1" s="1"/>
  <c r="G153" i="1" s="1"/>
  <c r="G154" i="1" s="1"/>
  <c r="G155" i="1" s="1"/>
  <c r="G127" i="1"/>
  <c r="G128" i="1" s="1"/>
  <c r="G129" i="1" s="1"/>
  <c r="G130" i="1" s="1"/>
  <c r="G131" i="1" s="1"/>
  <c r="G132" i="1" s="1"/>
  <c r="G133" i="1" s="1"/>
  <c r="G134" i="1" s="1"/>
  <c r="G135" i="1" s="1"/>
  <c r="G136" i="1" s="1"/>
  <c r="G137" i="1" s="1"/>
  <c r="G138" i="1" s="1"/>
  <c r="G112" i="1"/>
  <c r="G113" i="1" s="1"/>
  <c r="G114" i="1" s="1"/>
  <c r="G115" i="1" s="1"/>
  <c r="G116" i="1" s="1"/>
  <c r="G117" i="1" s="1"/>
  <c r="G118" i="1" s="1"/>
  <c r="G119" i="1" s="1"/>
  <c r="G120" i="1" s="1"/>
  <c r="G121" i="1" s="1"/>
  <c r="G122" i="1" s="1"/>
  <c r="G123" i="1" s="1"/>
  <c r="G110" i="1"/>
  <c r="H76" i="1"/>
  <c r="G35" i="1"/>
  <c r="G36" i="1" s="1"/>
  <c r="G37" i="1" s="1"/>
  <c r="G43" i="1" s="1"/>
  <c r="G44" i="1" s="1"/>
  <c r="G45" i="1" s="1"/>
  <c r="G46" i="1" s="1"/>
  <c r="G47" i="1" s="1"/>
  <c r="G48" i="1" s="1"/>
  <c r="G51" i="1" s="1"/>
  <c r="G52" i="1" s="1"/>
  <c r="G53" i="1" s="1"/>
  <c r="G54" i="1" s="1"/>
  <c r="G55" i="1" s="1"/>
  <c r="G56" i="1" s="1"/>
  <c r="G57" i="1" s="1"/>
  <c r="G58" i="1" s="1"/>
  <c r="G59" i="1" s="1"/>
  <c r="G60" i="1" s="1"/>
  <c r="G61" i="1" s="1"/>
  <c r="G62" i="1" s="1"/>
  <c r="G63" i="1" s="1"/>
  <c r="G64" i="1" s="1"/>
  <c r="G65" i="1" s="1"/>
  <c r="G66" i="1" s="1"/>
  <c r="G67" i="1" s="1"/>
  <c r="G68" i="1" s="1"/>
  <c r="G69" i="1" s="1"/>
  <c r="G76" i="1" s="1"/>
  <c r="G77" i="1" s="1"/>
  <c r="G78" i="1" s="1"/>
  <c r="G79" i="1" s="1"/>
  <c r="G80" i="1" s="1"/>
  <c r="G81" i="1" s="1"/>
  <c r="G82" i="1" s="1"/>
  <c r="G83" i="1" s="1"/>
  <c r="G84" i="1" s="1"/>
  <c r="G85" i="1" s="1"/>
  <c r="G86" i="1" s="1"/>
  <c r="G87" i="1" s="1"/>
  <c r="G88" i="1" s="1"/>
  <c r="G89" i="1" s="1"/>
  <c r="G90" i="1" s="1"/>
  <c r="G91" i="1" s="1"/>
  <c r="G92" i="1" s="1"/>
  <c r="G93" i="1" s="1"/>
  <c r="G94" i="1" s="1"/>
  <c r="G95" i="1" s="1"/>
  <c r="G96" i="1" s="1"/>
  <c r="G97" i="1" s="1"/>
  <c r="G98" i="1" s="1"/>
  <c r="G99" i="1" s="1"/>
  <c r="G100" i="1" s="1"/>
  <c r="G101" i="1" s="1"/>
  <c r="G102" i="1" s="1"/>
  <c r="G103" i="1" s="1"/>
  <c r="G104" i="1" s="1"/>
  <c r="G105" i="1" s="1"/>
  <c r="G106" i="1" s="1"/>
  <c r="G107" i="1" s="1"/>
  <c r="G11" i="1"/>
  <c r="G12" i="1" s="1"/>
  <c r="G13" i="1" s="1"/>
  <c r="G14" i="1" s="1"/>
  <c r="G15" i="1" s="1"/>
  <c r="G18" i="1" s="1"/>
  <c r="G19" i="1" s="1"/>
  <c r="G20" i="1" s="1"/>
  <c r="G21" i="1" s="1"/>
  <c r="G22" i="1" s="1"/>
</calcChain>
</file>

<file path=xl/sharedStrings.xml><?xml version="1.0" encoding="utf-8"?>
<sst xmlns="http://schemas.openxmlformats.org/spreadsheetml/2006/main" count="806" uniqueCount="390">
  <si>
    <t>Proyecto:</t>
  </si>
  <si>
    <t>Propietario:</t>
  </si>
  <si>
    <t>Plano de conjunto:</t>
  </si>
  <si>
    <t>Ministerio de Turismo</t>
  </si>
  <si>
    <t>Ayuntamiento</t>
  </si>
  <si>
    <t>Ministerio de Medio Ambiente</t>
  </si>
  <si>
    <t>Codia</t>
  </si>
  <si>
    <t>Documento</t>
  </si>
  <si>
    <t>Planta arquitectónica de conjunto (Por niveles):</t>
  </si>
  <si>
    <t>Fecha:</t>
  </si>
  <si>
    <t>N.º</t>
  </si>
  <si>
    <t>Partida</t>
  </si>
  <si>
    <t>1. Datos generales</t>
  </si>
  <si>
    <t>¿Es ruta critica?</t>
  </si>
  <si>
    <t>Fecha de inicio para modificación</t>
  </si>
  <si>
    <t>Consecutivo de avance:</t>
  </si>
  <si>
    <t>Observaciones:</t>
  </si>
  <si>
    <t>Fecha de solicitud:</t>
  </si>
  <si>
    <t>Fecha de actualización:</t>
  </si>
  <si>
    <t xml:space="preserve">2. Solicitud de información </t>
  </si>
  <si>
    <t>Información solicitada</t>
  </si>
  <si>
    <t>Duración en ejecución (Días)</t>
  </si>
  <si>
    <t>Responsable</t>
  </si>
  <si>
    <t>Fecha de recepción</t>
  </si>
  <si>
    <t>N.º de avance:</t>
  </si>
  <si>
    <t>2. Modificaciones en planos</t>
  </si>
  <si>
    <t>Información en modificación</t>
  </si>
  <si>
    <t>Fecha de inicio de modificación</t>
  </si>
  <si>
    <t>Seguimiento de solicitud (Días)</t>
  </si>
  <si>
    <t>Fecha de entrega</t>
  </si>
  <si>
    <t>Ubicación de compresores:</t>
  </si>
  <si>
    <t>Ubicación de registros sanitarios/ trampa de grasa/ cámara séptica/ cisterna:</t>
  </si>
  <si>
    <t>Ubicación del proyecto:</t>
  </si>
  <si>
    <t>Fecha de inicio del proyecto:</t>
  </si>
  <si>
    <t>Fecha de finalización del proyecto:</t>
  </si>
  <si>
    <t>Localización y ubicación:</t>
  </si>
  <si>
    <t>Plano de paisajismo definitivo:</t>
  </si>
  <si>
    <t>Plantas de pisos (por nivel):</t>
  </si>
  <si>
    <t>Elevaciones con especificaciones de materiales:</t>
  </si>
  <si>
    <t>Secciones con especificaciones de materiales:</t>
  </si>
  <si>
    <t>Ubicación de cuarto para equipos sanitarios:</t>
  </si>
  <si>
    <t>Ubicación en planos del contenedor de basura:</t>
  </si>
  <si>
    <t>Ubicación en planos del tanque de gas:</t>
  </si>
  <si>
    <t>Plantas de plafones (por nivel):</t>
  </si>
  <si>
    <t>Secciones de plafones:</t>
  </si>
  <si>
    <t>Plantas de ubicación de tomacorrientes:</t>
  </si>
  <si>
    <t>Plantas de ubicación de audio, TV y previsiones eléctricas para cortinas:</t>
  </si>
  <si>
    <t>Plantas de ubicación de cámaras:</t>
  </si>
  <si>
    <t>Plantas de ubicación para previsiones de automatización:</t>
  </si>
  <si>
    <t>Ubicación en planos del sistema de osmosis:</t>
  </si>
  <si>
    <t>Detalles de puertas y ventanas:</t>
  </si>
  <si>
    <t>Tabla de puertas y ventanas:</t>
  </si>
  <si>
    <t>Detalles de baños principales:</t>
  </si>
  <si>
    <t>Detalles de baños de servicio:</t>
  </si>
  <si>
    <t>Detalles de muebles de baños principales:</t>
  </si>
  <si>
    <t>Detalles de muebles de baños de servicio:</t>
  </si>
  <si>
    <t>Detalles de gazebo:</t>
  </si>
  <si>
    <t>Detalles de cornisas:</t>
  </si>
  <si>
    <t>Detalles de parqueos:</t>
  </si>
  <si>
    <t>Detalles de zócalos:</t>
  </si>
  <si>
    <t>Detalles de lavandería:</t>
  </si>
  <si>
    <t>Esquema de iluminación y tomacorrientes:</t>
  </si>
  <si>
    <t>Detalles de espejos de agua:</t>
  </si>
  <si>
    <t>Detalles de fuentes:</t>
  </si>
  <si>
    <t>Detalles de escaleras:</t>
  </si>
  <si>
    <t>Detalles de barandas:</t>
  </si>
  <si>
    <t>Detalles de ducha de exterior:</t>
  </si>
  <si>
    <t>Detalles de rampas:</t>
  </si>
  <si>
    <t>Detalles de techos:</t>
  </si>
  <si>
    <t>Detalles de vuelos:</t>
  </si>
  <si>
    <t>Memoria descriptiva del proyecto:</t>
  </si>
  <si>
    <t>Memoria de materiales del proyecto:</t>
  </si>
  <si>
    <t>Especificaciones de equipos sanitarios, eléctricos y de mecánicos:</t>
  </si>
  <si>
    <t>Especificaciones de herrajes:</t>
  </si>
  <si>
    <t>Plantas de iluminación exterior:</t>
  </si>
  <si>
    <t>Plantas de iluminación (por nivel):</t>
  </si>
  <si>
    <t>Plantas de tomacorrientes (por nivel):</t>
  </si>
  <si>
    <t>Plantas de instalaciones audio y data (por nivel):</t>
  </si>
  <si>
    <t>Detalles de paneles:</t>
  </si>
  <si>
    <t>Detalles de interruptores:</t>
  </si>
  <si>
    <t>Detalles de tomacorrientes:</t>
  </si>
  <si>
    <t>Detalles de alimentación eléctrica</t>
  </si>
  <si>
    <t>Detalles de instalaciones sanitarias y de aires acondicionados:</t>
  </si>
  <si>
    <t>Memoria de cálculos eléctricos:</t>
  </si>
  <si>
    <t>Plantas de suministro de agua (por nivel):</t>
  </si>
  <si>
    <t>Plantas de aguas negras (por nivel):</t>
  </si>
  <si>
    <t>Plantas de desagües pluviales (por nivel):</t>
  </si>
  <si>
    <t>Plantas de instalaciones de gas (por nivel):</t>
  </si>
  <si>
    <t>Plantas de extracciones (por nivel):</t>
  </si>
  <si>
    <t>Detalles de instalaciones para piscina/jacuzzi/espejos de agua:</t>
  </si>
  <si>
    <t>Isométricas (por nivel):</t>
  </si>
  <si>
    <t>Detalles sanitarios:</t>
  </si>
  <si>
    <t>Detalles y ubicación de manifolds:</t>
  </si>
  <si>
    <t>Detalles de extracciones:</t>
  </si>
  <si>
    <t>Memoria de cálculos hidráulicos:</t>
  </si>
  <si>
    <t>Plantas de instalaciones de aires acondicionados (por nivel):</t>
  </si>
  <si>
    <t>Detalles de ductos:</t>
  </si>
  <si>
    <t>Especificaciones de maquinas:</t>
  </si>
  <si>
    <t>Especificaciones de rejillas de suministro, retorno y extracciones:</t>
  </si>
  <si>
    <t>Especificaciones de conexiones eléctricas:</t>
  </si>
  <si>
    <t>Especificaciones de desagües:</t>
  </si>
  <si>
    <t>Especificaciones de rejillas de inspección:</t>
  </si>
  <si>
    <t>Plantas de cámaras (por nivel):</t>
  </si>
  <si>
    <t>Plantas de audio (por nivel):</t>
  </si>
  <si>
    <t>Plantas de antenas de internet (por nivel):</t>
  </si>
  <si>
    <t>Ubicación de registros:</t>
  </si>
  <si>
    <t>Certificado de no objeción</t>
  </si>
  <si>
    <t xml:space="preserve">Certificación de registro de impacto mínimo </t>
  </si>
  <si>
    <t>Licencia de construcción</t>
  </si>
  <si>
    <t>Certificación (gestión de costos Y presupuestos)</t>
  </si>
  <si>
    <t>Ubicación en planos del área para calentadores:</t>
  </si>
  <si>
    <t>GPC/ otros</t>
  </si>
  <si>
    <t>Contrato de construcción de obra</t>
  </si>
  <si>
    <t>Acuerdo marco para desarrollo</t>
  </si>
  <si>
    <t>Acuerdo de sociedad de hecho</t>
  </si>
  <si>
    <t>Contrato privado</t>
  </si>
  <si>
    <t>Sin cliente</t>
  </si>
  <si>
    <t>Fianzas de construcción</t>
  </si>
  <si>
    <t>Contrato de compra venta de inmueble</t>
  </si>
  <si>
    <t>Avance inicial</t>
  </si>
  <si>
    <t>Fiel cumplimiento</t>
  </si>
  <si>
    <t>Todo riesgo de construcción</t>
  </si>
  <si>
    <t>Vicios ocultos</t>
  </si>
  <si>
    <t>Póliza de accidentes laborales</t>
  </si>
  <si>
    <t>Otras pólizas</t>
  </si>
  <si>
    <t>Institución que emite</t>
  </si>
  <si>
    <t>Contrato de compra venta de acciones</t>
  </si>
  <si>
    <t>Otros documentos</t>
  </si>
  <si>
    <t>Ministerio de Obras Públicas</t>
  </si>
  <si>
    <t>Carta de autorización y aprobación de planos</t>
  </si>
  <si>
    <t>Detalles arquitectónicos &amp; constructivos</t>
  </si>
  <si>
    <t>Planos arquitectónicos</t>
  </si>
  <si>
    <t>Fecha de Incio de Actividad</t>
  </si>
  <si>
    <t xml:space="preserve"> </t>
  </si>
  <si>
    <t>2.1.</t>
  </si>
  <si>
    <t>2.2.</t>
  </si>
  <si>
    <t>2.3.</t>
  </si>
  <si>
    <t>2.4.</t>
  </si>
  <si>
    <t>2.5.</t>
  </si>
  <si>
    <t>2.6.</t>
  </si>
  <si>
    <t xml:space="preserve">ESTADO </t>
  </si>
  <si>
    <t>COMPLETO</t>
  </si>
  <si>
    <t xml:space="preserve">INCOMPLETO </t>
  </si>
  <si>
    <t xml:space="preserve">FALTANTE </t>
  </si>
  <si>
    <t xml:space="preserve">EN MODIFICACIÓN </t>
  </si>
  <si>
    <t xml:space="preserve">EN REVISIÓN </t>
  </si>
  <si>
    <t>5.1</t>
  </si>
  <si>
    <t>5.2</t>
  </si>
  <si>
    <t>5.3</t>
  </si>
  <si>
    <t>5.4</t>
  </si>
  <si>
    <t>5.5</t>
  </si>
  <si>
    <t>5.6</t>
  </si>
  <si>
    <t>5.7</t>
  </si>
  <si>
    <t>5.8</t>
  </si>
  <si>
    <t>5.9</t>
  </si>
  <si>
    <t>6.1</t>
  </si>
  <si>
    <t>6.2</t>
  </si>
  <si>
    <t>6.3</t>
  </si>
  <si>
    <t>6.4</t>
  </si>
  <si>
    <t>7.1</t>
  </si>
  <si>
    <t>7.2</t>
  </si>
  <si>
    <t>Detalles generales</t>
  </si>
  <si>
    <t>Planta de cimientos</t>
  </si>
  <si>
    <t>Detalles de cimientos (zapatas, muros de mampostería, espejo de agua, pisos, etc.)</t>
  </si>
  <si>
    <t>Detalle de columnas y muros</t>
  </si>
  <si>
    <t>Detalles de vigas y columnas sismoresistentes</t>
  </si>
  <si>
    <t>Detalle de piscina y jacuzzi</t>
  </si>
  <si>
    <t>Plantas estructurales (incluye detalles de losas, especificacion de armado y junta de construcción)</t>
  </si>
  <si>
    <t>Detalle de vigas y pórticos</t>
  </si>
  <si>
    <t>Detalle de escaleras</t>
  </si>
  <si>
    <t>Detalle de encofrado</t>
  </si>
  <si>
    <t>Modelos estructurales</t>
  </si>
  <si>
    <t>Memoria de cálculo</t>
  </si>
  <si>
    <t>Planos de conjunto</t>
  </si>
  <si>
    <t>Detalles de muebles de cocina principal:</t>
  </si>
  <si>
    <t>Detalles de muebles de cocina secundaria:</t>
  </si>
  <si>
    <t>Detalles de muebles de cocina servicios:</t>
  </si>
  <si>
    <t>Detalles de cocina principal:</t>
  </si>
  <si>
    <t>Detalles de cocina secundaria:</t>
  </si>
  <si>
    <t>Detalles de cocina servicios:</t>
  </si>
  <si>
    <t>Detalles de bar:</t>
  </si>
  <si>
    <t>Detalles de bbq:</t>
  </si>
  <si>
    <t xml:space="preserve">Memoria descriptiva del proyecto y materiales </t>
  </si>
  <si>
    <t>Diagrama unifilar:</t>
  </si>
  <si>
    <t>2. Permisologías</t>
  </si>
  <si>
    <t>3. Planos arquitectónicos</t>
  </si>
  <si>
    <t>3.1.</t>
  </si>
  <si>
    <t>3.2.</t>
  </si>
  <si>
    <t>3.3.</t>
  </si>
  <si>
    <t>3.4.</t>
  </si>
  <si>
    <t>3.5.</t>
  </si>
  <si>
    <t>3.6.</t>
  </si>
  <si>
    <t>3.7.</t>
  </si>
  <si>
    <t>3.9.</t>
  </si>
  <si>
    <t>3.10.</t>
  </si>
  <si>
    <t>3.11.</t>
  </si>
  <si>
    <t>3.12.</t>
  </si>
  <si>
    <t>3.13.</t>
  </si>
  <si>
    <t>3.14.</t>
  </si>
  <si>
    <t>3.15.</t>
  </si>
  <si>
    <t>3.16.</t>
  </si>
  <si>
    <t>3.17.</t>
  </si>
  <si>
    <t>3.18.</t>
  </si>
  <si>
    <t>3.19.</t>
  </si>
  <si>
    <t>3.20.</t>
  </si>
  <si>
    <t>3.21.</t>
  </si>
  <si>
    <t>3.22.</t>
  </si>
  <si>
    <t>3.23.</t>
  </si>
  <si>
    <t>3.24.</t>
  </si>
  <si>
    <t>3.25.</t>
  </si>
  <si>
    <t>3.26.</t>
  </si>
  <si>
    <t>3.27.</t>
  </si>
  <si>
    <t>3.28.</t>
  </si>
  <si>
    <t>3.29.</t>
  </si>
  <si>
    <t>3.30.</t>
  </si>
  <si>
    <t>3.31.</t>
  </si>
  <si>
    <t>3.32.</t>
  </si>
  <si>
    <t>3.33.</t>
  </si>
  <si>
    <t>3.34.</t>
  </si>
  <si>
    <t>3.35.</t>
  </si>
  <si>
    <t>3.36.</t>
  </si>
  <si>
    <t>3.37.</t>
  </si>
  <si>
    <t>3.38.</t>
  </si>
  <si>
    <t>3.39.</t>
  </si>
  <si>
    <t>3.40.</t>
  </si>
  <si>
    <t>3.41.</t>
  </si>
  <si>
    <t>3.42.</t>
  </si>
  <si>
    <t>3.43.</t>
  </si>
  <si>
    <t>3.44.</t>
  </si>
  <si>
    <t>3.45.</t>
  </si>
  <si>
    <t>3.46.</t>
  </si>
  <si>
    <t>3.47.</t>
  </si>
  <si>
    <t>3.48.</t>
  </si>
  <si>
    <t>3.49.</t>
  </si>
  <si>
    <t>3.50.</t>
  </si>
  <si>
    <t>3.51.</t>
  </si>
  <si>
    <t>3.52.</t>
  </si>
  <si>
    <t>3.53.</t>
  </si>
  <si>
    <t>3.54.</t>
  </si>
  <si>
    <t>3.55.</t>
  </si>
  <si>
    <t>3.56.</t>
  </si>
  <si>
    <t>3.57.</t>
  </si>
  <si>
    <t>3.58.</t>
  </si>
  <si>
    <t>4. Planos técnicos</t>
  </si>
  <si>
    <t>4.1 Planos estructurales</t>
  </si>
  <si>
    <t>4.1.1</t>
  </si>
  <si>
    <t>4.1.2</t>
  </si>
  <si>
    <t>4.1.3</t>
  </si>
  <si>
    <t>4.1.4</t>
  </si>
  <si>
    <t>4.1.5</t>
  </si>
  <si>
    <t>4.1.6</t>
  </si>
  <si>
    <t>4.1.7</t>
  </si>
  <si>
    <t>4.1.8</t>
  </si>
  <si>
    <t>4.1.9</t>
  </si>
  <si>
    <t>4.1.10</t>
  </si>
  <si>
    <t>4.1.11</t>
  </si>
  <si>
    <t>4.1.12</t>
  </si>
  <si>
    <t>4.1.13</t>
  </si>
  <si>
    <t>4.2 Planos eléctricos</t>
  </si>
  <si>
    <t>4.2.1</t>
  </si>
  <si>
    <t>4.2.2</t>
  </si>
  <si>
    <t>4.2.3</t>
  </si>
  <si>
    <t>4.2.4</t>
  </si>
  <si>
    <t>4.2.5</t>
  </si>
  <si>
    <t>4.2.6</t>
  </si>
  <si>
    <t>4.2.7</t>
  </si>
  <si>
    <t>4.2.8</t>
  </si>
  <si>
    <t>4.2.9</t>
  </si>
  <si>
    <t>4.2.10</t>
  </si>
  <si>
    <t>4.2.11</t>
  </si>
  <si>
    <t>4.2.12</t>
  </si>
  <si>
    <t>4.3.1</t>
  </si>
  <si>
    <t>4.3.2</t>
  </si>
  <si>
    <t>4.3.3</t>
  </si>
  <si>
    <t>4.3.4</t>
  </si>
  <si>
    <t>4.3.5</t>
  </si>
  <si>
    <t>4.3.6</t>
  </si>
  <si>
    <t>4.3.7</t>
  </si>
  <si>
    <t>4.3.8</t>
  </si>
  <si>
    <t>4.3.9</t>
  </si>
  <si>
    <t>4.3.10</t>
  </si>
  <si>
    <t>4.3.11</t>
  </si>
  <si>
    <t>4.3.12</t>
  </si>
  <si>
    <t>4.4 Planos de instalaciones para aires acondicionados</t>
  </si>
  <si>
    <t>4.4.1</t>
  </si>
  <si>
    <t>4.4.2</t>
  </si>
  <si>
    <t>4.4.3</t>
  </si>
  <si>
    <t>4.4.4</t>
  </si>
  <si>
    <t>4.4.5</t>
  </si>
  <si>
    <t>4.4.6</t>
  </si>
  <si>
    <t>4.4.7</t>
  </si>
  <si>
    <t>4.4.8</t>
  </si>
  <si>
    <t>4.4.9</t>
  </si>
  <si>
    <t>4.4.10</t>
  </si>
  <si>
    <t>4.5 Planos domótica</t>
  </si>
  <si>
    <t>4.5.1</t>
  </si>
  <si>
    <t>4.5.2</t>
  </si>
  <si>
    <t>4.5.3</t>
  </si>
  <si>
    <t>4.5.4</t>
  </si>
  <si>
    <t>4.5.5</t>
  </si>
  <si>
    <t>4.5.6</t>
  </si>
  <si>
    <t>3.8.</t>
  </si>
  <si>
    <t>4.2.13</t>
  </si>
  <si>
    <t>4.3.13</t>
  </si>
  <si>
    <t>2.7.</t>
  </si>
  <si>
    <t>2.8.</t>
  </si>
  <si>
    <t>2.9.</t>
  </si>
  <si>
    <t>2.10.</t>
  </si>
  <si>
    <t>2.11.</t>
  </si>
  <si>
    <t>Plantas de ubicación de iluminación e interruptores:</t>
  </si>
  <si>
    <t>Plano de paisajismo esquemático:</t>
  </si>
  <si>
    <t>3.59.</t>
  </si>
  <si>
    <t>3.60.</t>
  </si>
  <si>
    <t>3.61.</t>
  </si>
  <si>
    <t>3.62.</t>
  </si>
  <si>
    <t>Planos topográficos</t>
  </si>
  <si>
    <t>2.2.1.</t>
  </si>
  <si>
    <t>2.2.2.</t>
  </si>
  <si>
    <t>2.2.3.</t>
  </si>
  <si>
    <t>2.2.4.</t>
  </si>
  <si>
    <t>Estudio de suelo.</t>
  </si>
  <si>
    <t>Fecha de inicio recepción de documentación:</t>
  </si>
  <si>
    <t>Tipo de proyecto:</t>
  </si>
  <si>
    <t>NO APLICA</t>
  </si>
  <si>
    <t>VERIFICADO POR:</t>
  </si>
  <si>
    <t>m2 de construcción:</t>
  </si>
  <si>
    <t>m2 de solar:</t>
  </si>
  <si>
    <t>4.3 Planos Hidrosanitarios</t>
  </si>
  <si>
    <t xml:space="preserve">Estado </t>
  </si>
  <si>
    <t>Observaciones</t>
  </si>
  <si>
    <t>5. Verificación y validación 
Gestión de Arquitectura y Control de Planos</t>
  </si>
  <si>
    <t>Gerente del proyecto:</t>
  </si>
  <si>
    <t>Arquitecto Encargado:</t>
  </si>
  <si>
    <t>ARQUITECTO ENCARGADO</t>
  </si>
  <si>
    <t>INGENIERO ESTRUCTURAL</t>
  </si>
  <si>
    <t>Plano curvas de nivel.</t>
  </si>
  <si>
    <t>Plano puntos de sondeo.</t>
  </si>
  <si>
    <t>Plantas dimensionadas (por nivel):</t>
  </si>
  <si>
    <t>Detalles de cocina kitchenette:</t>
  </si>
  <si>
    <t>Detalles de muebles de cocina kitchenette:</t>
  </si>
  <si>
    <t>Detalles deck, jacuzzi y piscina:</t>
  </si>
  <si>
    <t>4.4.11</t>
  </si>
  <si>
    <t>4.5.7</t>
  </si>
  <si>
    <t>Plano de alimentadores y paneles eléctricos:</t>
  </si>
  <si>
    <t xml:space="preserve">Plantas de salidas de Iluminación: </t>
  </si>
  <si>
    <t>4.2.14</t>
  </si>
  <si>
    <t>Plantas coordinadas de techo:</t>
  </si>
  <si>
    <t>4.2.15</t>
  </si>
  <si>
    <t>Detalle de cuarto de eléctrico:</t>
  </si>
  <si>
    <t>Detalle de cuarto de calentadores:</t>
  </si>
  <si>
    <t>Ubicación y detalle de vertedero:</t>
  </si>
  <si>
    <t xml:space="preserve">Listado de materiales: </t>
  </si>
  <si>
    <t>2.2.5.</t>
  </si>
  <si>
    <t>2.2.6.</t>
  </si>
  <si>
    <t>Detalle de cuarto de data:</t>
  </si>
  <si>
    <t>3.63.</t>
  </si>
  <si>
    <t>3.64.</t>
  </si>
  <si>
    <t>3.65.</t>
  </si>
  <si>
    <t>3.66.</t>
  </si>
  <si>
    <t>3.67.</t>
  </si>
  <si>
    <t>Planta de Charrancha y Ejes.</t>
  </si>
  <si>
    <t>Plano de coordenadas / solar.</t>
  </si>
  <si>
    <t>3.68.</t>
  </si>
  <si>
    <t>Dossier de aparatos sanitarios:</t>
  </si>
  <si>
    <t>Dossier de herrajes:</t>
  </si>
  <si>
    <t>=F7</t>
  </si>
  <si>
    <t>Lagos Las Nasas 09</t>
  </si>
  <si>
    <t>Punta Cana Resort &amp; Club</t>
  </si>
  <si>
    <t>1775.18 m2</t>
  </si>
  <si>
    <t>972.98 m2</t>
  </si>
  <si>
    <t>Priscilla Lora</t>
  </si>
  <si>
    <t>Clientes</t>
  </si>
  <si>
    <t>21.11.2025</t>
  </si>
  <si>
    <t>24.11.2025</t>
  </si>
  <si>
    <t>Melissa Raiti-Knapp &amp; Jon Knapp</t>
  </si>
  <si>
    <t>-</t>
  </si>
  <si>
    <t>Contructora Dupla</t>
  </si>
  <si>
    <t>Desangles Abreu</t>
  </si>
  <si>
    <t>Pagina 48 de estudio de suelo</t>
  </si>
  <si>
    <t>Revisar ubicacion de calentadores</t>
  </si>
  <si>
    <t>Ubicación y detalle de fuente pendiente</t>
  </si>
  <si>
    <t>Verificar ubicacion de bajantes fuera de las columnas posteriores, pendiente planta de desague pluvial de techo plano en pasarela central</t>
  </si>
  <si>
    <t>27.11.2025</t>
  </si>
  <si>
    <t>Sugerencias de terminaciones y calidad de equipos</t>
  </si>
  <si>
    <t>25.11.2025</t>
  </si>
  <si>
    <t>Sugerencias de terminaciones y calidad de herrajes</t>
  </si>
  <si>
    <t>01.12.2025</t>
  </si>
  <si>
    <t>Pendiente detalle y ver observaciones de lindero</t>
  </si>
  <si>
    <t>Sera mismo viosurface en los vuelos exteriores?</t>
  </si>
  <si>
    <t>03.12.2025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</si>
</sst>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0" x14ac:knownFonts="1">
    <font>
      <sz val="11"/>
      <color theme="1"/>
      <name val="Calibri"/>
      <family val="2"/>
      <scheme val="minor"/>
    </font>
    <font>
      <sz val="14"/>
      <color theme="1"/>
      <name val="Century Gothic"/>
      <family val="2"/>
    </font>
    <font>
      <b/>
      <sz val="14"/>
      <color theme="1"/>
      <name val="Century Gothic"/>
      <family val="2"/>
    </font>
    <font>
      <b/>
      <sz val="16"/>
      <color theme="1"/>
      <name val="Century Gothic"/>
      <family val="2"/>
    </font>
    <font>
      <sz val="9"/>
      <color theme="1"/>
      <name val="Century Gothic"/>
      <family val="2"/>
    </font>
    <font>
      <b/>
      <sz val="9"/>
      <color theme="1"/>
      <name val="Century Gothic"/>
      <family val="2"/>
    </font>
    <font>
      <b/>
      <sz val="10"/>
      <color theme="1"/>
      <name val="Century Gothic"/>
      <family val="2"/>
    </font>
    <font>
      <sz val="9"/>
      <name val="Century Gothic"/>
      <family val="2"/>
    </font>
    <font>
      <b/>
      <sz val="14"/>
      <name val="Century Gothic"/>
      <family val="2"/>
    </font>
    <font>
      <sz val="8"/>
      <name val="Calibri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theme="0" tint="-0.249977111117893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rgb="FFFFC000"/>
        <bgColor indexed="64"/>
      </patternFill>
    </fill>
  </fills>
  <borders count="30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thin">
        <color indexed="64"/>
      </bottom>
      <diagonal/>
    </border>
    <border>
      <left/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/>
      <diagonal/>
    </border>
    <border>
      <left/>
      <right style="medium">
        <color indexed="64"/>
      </right>
      <top style="thin">
        <color indexed="64"/>
      </top>
      <bottom/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</borders>
  <cellStyleXfs count="1">
    <xf numFmtId="0" fontId="0" fillId="0" borderId="0"/>
  </cellStyleXfs>
  <cellXfs count="110">
    <xf numFmtId="0" fontId="0" fillId="0" borderId="0" xfId="0"/>
    <xf numFmtId="0" fontId="2" fillId="2" borderId="1" xfId="0" applyFont="1" applyFill="1" applyBorder="1" applyAlignment="1">
      <alignment vertical="center" wrapText="1"/>
    </xf>
    <xf numFmtId="0" fontId="1" fillId="0" borderId="1" xfId="0" applyFont="1" applyBorder="1" applyAlignment="1">
      <alignment horizontal="left" vertical="center" wrapText="1"/>
    </xf>
    <xf numFmtId="0" fontId="2" fillId="0" borderId="1" xfId="0" applyFont="1" applyBorder="1" applyAlignment="1">
      <alignment horizontal="left" vertical="center" wrapText="1"/>
    </xf>
    <xf numFmtId="0" fontId="4" fillId="0" borderId="0" xfId="0" applyFont="1"/>
    <xf numFmtId="0" fontId="4" fillId="0" borderId="1" xfId="0" applyFont="1" applyBorder="1" applyAlignment="1">
      <alignment horizontal="center"/>
    </xf>
    <xf numFmtId="0" fontId="5" fillId="2" borderId="1" xfId="0" applyFont="1" applyFill="1" applyBorder="1" applyAlignment="1">
      <alignment horizontal="center" vertical="center" wrapText="1"/>
    </xf>
    <xf numFmtId="0" fontId="5" fillId="2" borderId="2" xfId="0" applyFont="1" applyFill="1" applyBorder="1" applyAlignment="1">
      <alignment horizontal="center" vertical="center" wrapText="1"/>
    </xf>
    <xf numFmtId="0" fontId="4" fillId="0" borderId="0" xfId="0" applyFont="1" applyAlignment="1">
      <alignment wrapText="1"/>
    </xf>
    <xf numFmtId="0" fontId="4" fillId="0" borderId="1" xfId="0" applyFont="1" applyBorder="1"/>
    <xf numFmtId="0" fontId="4" fillId="0" borderId="2" xfId="0" applyFont="1" applyBorder="1" applyAlignment="1">
      <alignment horizontal="center"/>
    </xf>
    <xf numFmtId="0" fontId="4" fillId="0" borderId="1" xfId="0" applyFont="1" applyBorder="1" applyAlignment="1">
      <alignment wrapText="1"/>
    </xf>
    <xf numFmtId="0" fontId="4" fillId="0" borderId="1" xfId="0" applyFont="1" applyBorder="1" applyAlignment="1">
      <alignment horizontal="center" wrapText="1"/>
    </xf>
    <xf numFmtId="0" fontId="4" fillId="0" borderId="0" xfId="0" applyFont="1" applyAlignment="1">
      <alignment horizontal="center"/>
    </xf>
    <xf numFmtId="0" fontId="7" fillId="0" borderId="0" xfId="0" applyFont="1"/>
    <xf numFmtId="0" fontId="4" fillId="0" borderId="0" xfId="0" applyFont="1" applyAlignment="1">
      <alignment horizontal="center" vertical="center" wrapText="1"/>
    </xf>
    <xf numFmtId="0" fontId="5" fillId="0" borderId="0" xfId="0" applyFont="1" applyAlignment="1">
      <alignment horizontal="center" vertical="center" wrapText="1"/>
    </xf>
    <xf numFmtId="0" fontId="5" fillId="0" borderId="1" xfId="0" applyFont="1" applyBorder="1"/>
    <xf numFmtId="0" fontId="2" fillId="0" borderId="1" xfId="0" applyFont="1" applyBorder="1" applyAlignment="1">
      <alignment vertical="center" wrapText="1"/>
    </xf>
    <xf numFmtId="0" fontId="2" fillId="2" borderId="1" xfId="0" applyFont="1" applyFill="1" applyBorder="1" applyAlignment="1">
      <alignment horizontal="center" vertical="center" wrapText="1"/>
    </xf>
    <xf numFmtId="0" fontId="2" fillId="2" borderId="1" xfId="0" applyFont="1" applyFill="1" applyBorder="1" applyAlignment="1">
      <alignment horizontal="left" vertical="center" wrapText="1"/>
    </xf>
    <xf numFmtId="2" fontId="2" fillId="2" borderId="1" xfId="0" applyNumberFormat="1" applyFont="1" applyFill="1" applyBorder="1" applyAlignment="1">
      <alignment horizontal="center" vertical="center" wrapText="1"/>
    </xf>
    <xf numFmtId="0" fontId="1" fillId="0" borderId="1" xfId="0" applyFont="1" applyBorder="1" applyAlignment="1">
      <alignment horizontal="center" vertical="center" wrapText="1"/>
    </xf>
    <xf numFmtId="0" fontId="5" fillId="3" borderId="1" xfId="0" applyFont="1" applyFill="1" applyBorder="1" applyAlignment="1">
      <alignment horizontal="left"/>
    </xf>
    <xf numFmtId="0" fontId="5" fillId="3" borderId="2" xfId="0" applyFont="1" applyFill="1" applyBorder="1" applyAlignment="1">
      <alignment horizontal="center" vertical="center" wrapText="1"/>
    </xf>
    <xf numFmtId="0" fontId="4" fillId="3" borderId="2" xfId="0" applyFont="1" applyFill="1" applyBorder="1" applyAlignment="1">
      <alignment horizontal="center"/>
    </xf>
    <xf numFmtId="0" fontId="4" fillId="3" borderId="1" xfId="0" applyFont="1" applyFill="1" applyBorder="1" applyAlignment="1">
      <alignment horizontal="left" vertical="center"/>
    </xf>
    <xf numFmtId="0" fontId="4" fillId="3" borderId="0" xfId="0" applyFont="1" applyFill="1"/>
    <xf numFmtId="0" fontId="4" fillId="5" borderId="1" xfId="0" applyFont="1" applyFill="1" applyBorder="1" applyAlignment="1">
      <alignment horizontal="center"/>
    </xf>
    <xf numFmtId="0" fontId="4" fillId="5" borderId="2" xfId="0" applyFont="1" applyFill="1" applyBorder="1" applyAlignment="1">
      <alignment horizontal="center"/>
    </xf>
    <xf numFmtId="0" fontId="4" fillId="5" borderId="1" xfId="0" applyFont="1" applyFill="1" applyBorder="1"/>
    <xf numFmtId="14" fontId="2" fillId="0" borderId="1" xfId="0" applyNumberFormat="1" applyFont="1" applyBorder="1" applyAlignment="1">
      <alignment horizontal="center" vertical="center" wrapText="1"/>
    </xf>
    <xf numFmtId="0" fontId="1" fillId="0" borderId="0" xfId="0" applyFont="1" applyAlignment="1">
      <alignment wrapText="1"/>
    </xf>
    <xf numFmtId="0" fontId="1" fillId="0" borderId="0" xfId="0" applyFont="1" applyAlignment="1">
      <alignment horizontal="center" wrapText="1"/>
    </xf>
    <xf numFmtId="0" fontId="1" fillId="0" borderId="0" xfId="0" applyFont="1" applyAlignment="1">
      <alignment horizontal="left" vertical="center" wrapText="1"/>
    </xf>
    <xf numFmtId="0" fontId="1" fillId="0" borderId="3" xfId="0" applyFont="1" applyBorder="1" applyAlignment="1">
      <alignment horizontal="center" vertical="center" wrapText="1"/>
    </xf>
    <xf numFmtId="0" fontId="1" fillId="0" borderId="4" xfId="0" applyFont="1" applyBorder="1" applyAlignment="1">
      <alignment horizontal="center" vertical="center" wrapText="1"/>
    </xf>
    <xf numFmtId="0" fontId="2" fillId="0" borderId="0" xfId="0" applyFont="1" applyAlignment="1">
      <alignment horizontal="center" vertical="center" wrapText="1"/>
    </xf>
    <xf numFmtId="0" fontId="2" fillId="0" borderId="0" xfId="0" applyFont="1" applyAlignment="1">
      <alignment horizontal="left" vertical="center" wrapText="1"/>
    </xf>
    <xf numFmtId="0" fontId="2" fillId="0" borderId="0" xfId="0" applyFont="1" applyAlignment="1">
      <alignment vertical="center" wrapText="1"/>
    </xf>
    <xf numFmtId="0" fontId="1" fillId="0" borderId="0" xfId="0" applyFont="1" applyAlignment="1">
      <alignment horizontal="center" vertical="center" wrapText="1"/>
    </xf>
    <xf numFmtId="49" fontId="2" fillId="0" borderId="7" xfId="0" applyNumberFormat="1" applyFont="1" applyBorder="1" applyAlignment="1">
      <alignment vertical="center" wrapText="1"/>
    </xf>
    <xf numFmtId="0" fontId="2" fillId="2" borderId="6" xfId="0" applyFont="1" applyFill="1" applyBorder="1" applyAlignment="1">
      <alignment horizontal="center" vertical="center" wrapText="1"/>
    </xf>
    <xf numFmtId="0" fontId="2" fillId="0" borderId="12" xfId="0" applyFont="1" applyBorder="1" applyAlignment="1">
      <alignment vertical="center" wrapText="1"/>
    </xf>
    <xf numFmtId="49" fontId="2" fillId="0" borderId="12" xfId="0" applyNumberFormat="1" applyFont="1" applyBorder="1" applyAlignment="1">
      <alignment vertical="center" wrapText="1"/>
    </xf>
    <xf numFmtId="0" fontId="2" fillId="2" borderId="15" xfId="0" applyFont="1" applyFill="1" applyBorder="1" applyAlignment="1">
      <alignment horizontal="center" vertical="center" wrapText="1"/>
    </xf>
    <xf numFmtId="0" fontId="2" fillId="2" borderId="14" xfId="0" applyFont="1" applyFill="1" applyBorder="1" applyAlignment="1">
      <alignment horizontal="center" vertical="center" wrapText="1"/>
    </xf>
    <xf numFmtId="0" fontId="2" fillId="2" borderId="11" xfId="0" applyFont="1" applyFill="1" applyBorder="1" applyAlignment="1">
      <alignment horizontal="center" vertical="center" wrapText="1"/>
    </xf>
    <xf numFmtId="14" fontId="2" fillId="0" borderId="14" xfId="0" applyNumberFormat="1" applyFont="1" applyBorder="1" applyAlignment="1">
      <alignment horizontal="center" vertical="center" wrapText="1"/>
    </xf>
    <xf numFmtId="2" fontId="2" fillId="2" borderId="11" xfId="0" applyNumberFormat="1" applyFont="1" applyFill="1" applyBorder="1" applyAlignment="1">
      <alignment horizontal="center" vertical="center" wrapText="1"/>
    </xf>
    <xf numFmtId="49" fontId="2" fillId="0" borderId="24" xfId="0" applyNumberFormat="1" applyFont="1" applyBorder="1" applyAlignment="1">
      <alignment horizontal="center" vertical="center" wrapText="1"/>
    </xf>
    <xf numFmtId="49" fontId="2" fillId="0" borderId="29" xfId="0" applyNumberFormat="1" applyFont="1" applyBorder="1" applyAlignment="1">
      <alignment horizontal="center" vertical="center" wrapText="1"/>
    </xf>
    <xf numFmtId="0" fontId="8" fillId="2" borderId="1" xfId="0" applyFont="1" applyFill="1" applyBorder="1" applyAlignment="1">
      <alignment horizontal="center" vertical="center" wrapText="1"/>
    </xf>
    <xf numFmtId="4" fontId="2" fillId="0" borderId="12" xfId="0" applyNumberFormat="1" applyFont="1" applyBorder="1" applyAlignment="1">
      <alignment vertical="center" wrapText="1"/>
    </xf>
    <xf numFmtId="0" fontId="2" fillId="0" borderId="12" xfId="0" quotePrefix="1" applyFont="1" applyBorder="1" applyAlignment="1">
      <alignment vertical="center" wrapText="1"/>
    </xf>
    <xf numFmtId="49" fontId="2" fillId="0" borderId="12" xfId="0" quotePrefix="1" applyNumberFormat="1" applyFont="1" applyBorder="1" applyAlignment="1">
      <alignment vertical="center" wrapText="1"/>
    </xf>
    <xf numFmtId="49" fontId="2" fillId="0" borderId="1" xfId="0" quotePrefix="1" applyNumberFormat="1" applyFont="1" applyBorder="1" applyAlignment="1">
      <alignment vertical="center" wrapText="1"/>
    </xf>
    <xf numFmtId="0" fontId="2" fillId="3" borderId="1" xfId="0" applyFont="1" applyFill="1" applyBorder="1" applyAlignment="1">
      <alignment horizontal="left" vertical="center" wrapText="1"/>
    </xf>
    <xf numFmtId="0" fontId="3" fillId="2" borderId="8" xfId="0" applyFont="1" applyFill="1" applyBorder="1" applyAlignment="1">
      <alignment horizontal="center" vertical="center" wrapText="1"/>
    </xf>
    <xf numFmtId="0" fontId="3" fillId="2" borderId="9" xfId="0" applyFont="1" applyFill="1" applyBorder="1" applyAlignment="1">
      <alignment horizontal="center" vertical="center" wrapText="1"/>
    </xf>
    <xf numFmtId="0" fontId="3" fillId="2" borderId="10" xfId="0" applyFont="1" applyFill="1" applyBorder="1" applyAlignment="1">
      <alignment horizontal="center" vertical="center" wrapText="1"/>
    </xf>
    <xf numFmtId="0" fontId="2" fillId="0" borderId="11" xfId="0" applyFont="1" applyBorder="1" applyAlignment="1">
      <alignment horizontal="center" vertical="center" wrapText="1"/>
    </xf>
    <xf numFmtId="0" fontId="2" fillId="0" borderId="1" xfId="0" applyFont="1" applyBorder="1" applyAlignment="1">
      <alignment horizontal="center" vertical="center" wrapText="1"/>
    </xf>
    <xf numFmtId="0" fontId="2" fillId="0" borderId="14" xfId="0" applyFont="1" applyBorder="1" applyAlignment="1">
      <alignment horizontal="center" vertical="center" wrapText="1"/>
    </xf>
    <xf numFmtId="0" fontId="3" fillId="2" borderId="20" xfId="0" applyFont="1" applyFill="1" applyBorder="1" applyAlignment="1">
      <alignment horizontal="center" vertical="center" wrapText="1"/>
    </xf>
    <xf numFmtId="0" fontId="3" fillId="2" borderId="3" xfId="0" applyFont="1" applyFill="1" applyBorder="1" applyAlignment="1">
      <alignment horizontal="center" vertical="center" wrapText="1"/>
    </xf>
    <xf numFmtId="0" fontId="3" fillId="2" borderId="12" xfId="0" applyFont="1" applyFill="1" applyBorder="1" applyAlignment="1">
      <alignment horizontal="center" vertical="center" wrapText="1"/>
    </xf>
    <xf numFmtId="0" fontId="2" fillId="2" borderId="1" xfId="0" applyFont="1" applyFill="1" applyBorder="1" applyAlignment="1">
      <alignment vertical="center" wrapText="1"/>
    </xf>
    <xf numFmtId="0" fontId="2" fillId="2" borderId="11" xfId="0" applyFont="1" applyFill="1" applyBorder="1" applyAlignment="1">
      <alignment horizontal="left" vertical="center" wrapText="1"/>
    </xf>
    <xf numFmtId="0" fontId="2" fillId="2" borderId="1" xfId="0" applyFont="1" applyFill="1" applyBorder="1" applyAlignment="1">
      <alignment horizontal="left" vertical="center" wrapText="1"/>
    </xf>
    <xf numFmtId="0" fontId="8" fillId="2" borderId="11" xfId="0" applyFont="1" applyFill="1" applyBorder="1" applyAlignment="1">
      <alignment horizontal="left" vertical="center" wrapText="1"/>
    </xf>
    <xf numFmtId="0" fontId="8" fillId="2" borderId="1" xfId="0" applyFont="1" applyFill="1" applyBorder="1" applyAlignment="1">
      <alignment horizontal="left" vertical="center" wrapText="1"/>
    </xf>
    <xf numFmtId="0" fontId="2" fillId="2" borderId="13" xfId="0" applyFont="1" applyFill="1" applyBorder="1" applyAlignment="1">
      <alignment horizontal="left" vertical="center" wrapText="1"/>
    </xf>
    <xf numFmtId="0" fontId="2" fillId="2" borderId="7" xfId="0" applyFont="1" applyFill="1" applyBorder="1" applyAlignment="1">
      <alignment horizontal="left" vertical="center" wrapText="1"/>
    </xf>
    <xf numFmtId="0" fontId="3" fillId="2" borderId="11" xfId="0" applyFont="1" applyFill="1" applyBorder="1" applyAlignment="1">
      <alignment horizontal="center" vertical="center" wrapText="1"/>
    </xf>
    <xf numFmtId="0" fontId="3" fillId="2" borderId="1" xfId="0" applyFont="1" applyFill="1" applyBorder="1" applyAlignment="1">
      <alignment horizontal="center" vertical="center" wrapText="1"/>
    </xf>
    <xf numFmtId="0" fontId="3" fillId="2" borderId="14" xfId="0" applyFont="1" applyFill="1" applyBorder="1" applyAlignment="1">
      <alignment horizontal="center" vertical="center" wrapText="1"/>
    </xf>
    <xf numFmtId="0" fontId="2" fillId="0" borderId="20" xfId="0" applyFont="1" applyBorder="1" applyAlignment="1">
      <alignment horizontal="center" vertical="center" wrapText="1"/>
    </xf>
    <xf numFmtId="0" fontId="2" fillId="0" borderId="3" xfId="0" applyFont="1" applyBorder="1" applyAlignment="1">
      <alignment horizontal="center" vertical="center" wrapText="1"/>
    </xf>
    <xf numFmtId="0" fontId="2" fillId="0" borderId="12" xfId="0" applyFont="1" applyBorder="1" applyAlignment="1">
      <alignment horizontal="center" vertical="center" wrapText="1"/>
    </xf>
    <xf numFmtId="0" fontId="2" fillId="0" borderId="16" xfId="0" applyFont="1" applyBorder="1" applyAlignment="1">
      <alignment horizontal="center" vertical="center" wrapText="1"/>
    </xf>
    <xf numFmtId="0" fontId="2" fillId="0" borderId="0" xfId="0" applyFont="1" applyAlignment="1">
      <alignment horizontal="center" vertical="center" wrapText="1"/>
    </xf>
    <xf numFmtId="0" fontId="2" fillId="0" borderId="17" xfId="0" applyFont="1" applyBorder="1" applyAlignment="1">
      <alignment horizontal="center" vertical="center" wrapText="1"/>
    </xf>
    <xf numFmtId="0" fontId="3" fillId="2" borderId="18" xfId="0" applyFont="1" applyFill="1" applyBorder="1" applyAlignment="1">
      <alignment horizontal="center" vertical="center" wrapText="1"/>
    </xf>
    <xf numFmtId="0" fontId="3" fillId="2" borderId="5" xfId="0" applyFont="1" applyFill="1" applyBorder="1" applyAlignment="1">
      <alignment horizontal="center" vertical="center" wrapText="1"/>
    </xf>
    <xf numFmtId="0" fontId="3" fillId="2" borderId="19" xfId="0" applyFont="1" applyFill="1" applyBorder="1" applyAlignment="1">
      <alignment horizontal="center" vertical="center" wrapText="1"/>
    </xf>
    <xf numFmtId="0" fontId="2" fillId="0" borderId="23" xfId="0" applyFont="1" applyBorder="1" applyAlignment="1">
      <alignment horizontal="center" vertical="center" wrapText="1"/>
    </xf>
    <xf numFmtId="0" fontId="2" fillId="0" borderId="26" xfId="0" applyFont="1" applyBorder="1" applyAlignment="1">
      <alignment horizontal="center" vertical="center" wrapText="1"/>
    </xf>
    <xf numFmtId="0" fontId="2" fillId="0" borderId="25" xfId="0" applyFont="1" applyBorder="1" applyAlignment="1">
      <alignment horizontal="center" vertical="center" wrapText="1"/>
    </xf>
    <xf numFmtId="0" fontId="3" fillId="2" borderId="21" xfId="0" applyFont="1" applyFill="1" applyBorder="1" applyAlignment="1">
      <alignment horizontal="center" vertical="center" wrapText="1"/>
    </xf>
    <xf numFmtId="0" fontId="3" fillId="2" borderId="4" xfId="0" applyFont="1" applyFill="1" applyBorder="1" applyAlignment="1">
      <alignment horizontal="center" vertical="center" wrapText="1"/>
    </xf>
    <xf numFmtId="0" fontId="3" fillId="2" borderId="22" xfId="0" applyFont="1" applyFill="1" applyBorder="1" applyAlignment="1">
      <alignment horizontal="center" vertical="center" wrapText="1"/>
    </xf>
    <xf numFmtId="0" fontId="2" fillId="0" borderId="7" xfId="0" applyFont="1" applyBorder="1" applyAlignment="1">
      <alignment horizontal="center" vertical="center" wrapText="1"/>
    </xf>
    <xf numFmtId="0" fontId="2" fillId="0" borderId="28" xfId="0" applyFont="1" applyBorder="1" applyAlignment="1">
      <alignment horizontal="center" vertical="center" wrapText="1"/>
    </xf>
    <xf numFmtId="0" fontId="1" fillId="0" borderId="1" xfId="0" applyFont="1" applyBorder="1" applyAlignment="1">
      <alignment horizontal="center" vertical="center" wrapText="1"/>
    </xf>
    <xf numFmtId="0" fontId="1" fillId="0" borderId="14" xfId="0" applyFont="1" applyBorder="1" applyAlignment="1">
      <alignment horizontal="center" vertical="center" wrapText="1"/>
    </xf>
    <xf numFmtId="0" fontId="1" fillId="0" borderId="11" xfId="0" applyFont="1" applyBorder="1" applyAlignment="1">
      <alignment horizontal="center" wrapText="1"/>
    </xf>
    <xf numFmtId="0" fontId="1" fillId="0" borderId="1" xfId="0" applyFont="1" applyBorder="1" applyAlignment="1">
      <alignment horizontal="center" wrapText="1"/>
    </xf>
    <xf numFmtId="0" fontId="2" fillId="0" borderId="21" xfId="0" applyFont="1" applyBorder="1" applyAlignment="1">
      <alignment horizontal="center" vertical="center" wrapText="1"/>
    </xf>
    <xf numFmtId="0" fontId="2" fillId="0" borderId="4" xfId="0" applyFont="1" applyBorder="1" applyAlignment="1">
      <alignment horizontal="center" vertical="center" wrapText="1"/>
    </xf>
    <xf numFmtId="0" fontId="2" fillId="0" borderId="27" xfId="0" applyFont="1" applyBorder="1" applyAlignment="1">
      <alignment horizontal="center" vertical="center" wrapText="1"/>
    </xf>
    <xf numFmtId="0" fontId="4" fillId="0" borderId="1" xfId="0" applyFont="1" applyBorder="1" applyAlignment="1">
      <alignment horizontal="left" vertical="center"/>
    </xf>
    <xf numFmtId="0" fontId="4" fillId="0" borderId="1" xfId="0" applyFont="1" applyBorder="1" applyAlignment="1">
      <alignment horizontal="center"/>
    </xf>
    <xf numFmtId="0" fontId="5" fillId="2" borderId="1" xfId="0" applyFont="1" applyFill="1" applyBorder="1" applyAlignment="1">
      <alignment horizontal="left"/>
    </xf>
    <xf numFmtId="0" fontId="5" fillId="2" borderId="1" xfId="0" applyFont="1" applyFill="1" applyBorder="1" applyAlignment="1">
      <alignment horizontal="center"/>
    </xf>
    <xf numFmtId="0" fontId="4" fillId="4" borderId="1" xfId="0" applyFont="1" applyFill="1" applyBorder="1" applyAlignment="1">
      <alignment horizontal="center"/>
    </xf>
    <xf numFmtId="0" fontId="6" fillId="2" borderId="1" xfId="0" applyFont="1" applyFill="1" applyBorder="1" applyAlignment="1">
      <alignment horizontal="center"/>
    </xf>
    <xf numFmtId="0" fontId="5" fillId="0" borderId="1" xfId="0" applyFont="1" applyBorder="1" applyAlignment="1">
      <alignment horizontal="center"/>
    </xf>
    <xf numFmtId="0" fontId="4" fillId="0" borderId="1" xfId="0" applyFont="1" applyBorder="1" applyAlignment="1">
      <alignment horizontal="left" vertical="center" wrapText="1"/>
    </xf>
    <xf numFmtId="0" fontId="4" fillId="0" borderId="1" xfId="0" applyFont="1" applyBorder="1" applyAlignment="1">
      <alignment horizontal="center" wrapText="1"/>
    </xf>
  </cellXfs>
  <cellStyles count="1">
    <cellStyle name="Normal" xfId="0" builtinId="0"/>
  </cellStyles>
  <dxfs count="359">
    <dxf>
      <fill>
        <patternFill>
          <bgColor rgb="FF00B0F0"/>
        </patternFill>
      </fill>
    </dxf>
    <dxf>
      <fill>
        <patternFill>
          <bgColor rgb="FFFFFF00"/>
        </patternFill>
      </fill>
    </dxf>
    <dxf>
      <fill>
        <patternFill>
          <bgColor theme="5"/>
        </patternFill>
      </fill>
    </dxf>
    <dxf>
      <fill>
        <patternFill>
          <bgColor rgb="FFFF0000"/>
        </patternFill>
      </fill>
    </dxf>
    <dxf>
      <fill>
        <patternFill>
          <bgColor theme="5"/>
        </patternFill>
      </fill>
    </dxf>
    <dxf>
      <fill>
        <patternFill>
          <bgColor rgb="FF00B0F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00B0F0"/>
        </patternFill>
      </fill>
    </dxf>
    <dxf>
      <fill>
        <patternFill>
          <bgColor theme="5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00B0F0"/>
        </patternFill>
      </fill>
    </dxf>
    <dxf>
      <fill>
        <patternFill>
          <bgColor theme="5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00B0F0"/>
        </patternFill>
      </fill>
    </dxf>
    <dxf>
      <fill>
        <patternFill>
          <bgColor theme="5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00B0F0"/>
        </patternFill>
      </fill>
    </dxf>
    <dxf>
      <fill>
        <patternFill>
          <bgColor theme="5"/>
        </patternFill>
      </fill>
    </dxf>
    <dxf>
      <fill>
        <patternFill>
          <bgColor rgb="FF00B0F0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theme="5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00B0F0"/>
        </patternFill>
      </fill>
    </dxf>
    <dxf>
      <fill>
        <patternFill>
          <bgColor theme="5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00B0F0"/>
        </patternFill>
      </fill>
    </dxf>
    <dxf>
      <fill>
        <patternFill>
          <bgColor rgb="FFFF0000"/>
        </patternFill>
      </fill>
    </dxf>
    <dxf>
      <fill>
        <patternFill>
          <bgColor theme="5"/>
        </patternFill>
      </fill>
    </dxf>
    <dxf>
      <fill>
        <patternFill>
          <bgColor rgb="FF00B0F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theme="5"/>
        </patternFill>
      </fill>
    </dxf>
    <dxf>
      <fill>
        <patternFill>
          <bgColor rgb="FFFF0000"/>
        </patternFill>
      </fill>
    </dxf>
    <dxf>
      <fill>
        <patternFill>
          <bgColor rgb="FF00B0F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theme="5"/>
        </patternFill>
      </fill>
    </dxf>
    <dxf>
      <fill>
        <patternFill>
          <bgColor rgb="FF00B0F0"/>
        </patternFill>
      </fill>
    </dxf>
    <dxf>
      <fill>
        <patternFill>
          <bgColor rgb="FFFFFF00"/>
        </patternFill>
      </fill>
    </dxf>
    <dxf>
      <fill>
        <patternFill>
          <bgColor theme="5"/>
        </patternFill>
      </fill>
    </dxf>
    <dxf>
      <fill>
        <patternFill>
          <bgColor rgb="FF00B0F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00B0F0"/>
        </patternFill>
      </fill>
    </dxf>
    <dxf>
      <fill>
        <patternFill>
          <bgColor theme="5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00B0F0"/>
        </patternFill>
      </fill>
    </dxf>
    <dxf>
      <fill>
        <patternFill>
          <bgColor theme="5"/>
        </patternFill>
      </fill>
    </dxf>
    <dxf>
      <fill>
        <patternFill>
          <bgColor rgb="FF00B0F0"/>
        </patternFill>
      </fill>
    </dxf>
    <dxf>
      <fill>
        <patternFill>
          <bgColor theme="5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00B0F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theme="5"/>
        </patternFill>
      </fill>
    </dxf>
    <dxf>
      <fill>
        <patternFill>
          <bgColor rgb="FF92D050"/>
        </patternFill>
      </fill>
    </dxf>
    <dxf>
      <fill>
        <patternFill>
          <bgColor rgb="FFFF66FF"/>
        </patternFill>
      </fill>
    </dxf>
    <dxf>
      <fill>
        <patternFill>
          <bgColor theme="9"/>
        </patternFill>
      </fill>
    </dxf>
    <dxf>
      <fill>
        <patternFill>
          <bgColor theme="5" tint="-0.24994659260841701"/>
        </patternFill>
      </fill>
    </dxf>
    <dxf>
      <fill>
        <patternFill>
          <bgColor rgb="FFFF66FF"/>
        </patternFill>
      </fill>
    </dxf>
    <dxf>
      <fill>
        <patternFill>
          <bgColor rgb="FFFF0000"/>
        </patternFill>
      </fill>
    </dxf>
    <dxf>
      <fill>
        <patternFill>
          <bgColor rgb="FF00B0F0"/>
        </patternFill>
      </fill>
    </dxf>
    <dxf>
      <fill>
        <patternFill>
          <bgColor rgb="FFFFFF00"/>
        </patternFill>
      </fill>
    </dxf>
    <dxf>
      <fill>
        <patternFill>
          <bgColor rgb="FFFF66FF"/>
        </patternFill>
      </fill>
    </dxf>
    <dxf>
      <fill>
        <patternFill>
          <bgColor theme="5"/>
        </patternFill>
      </fill>
    </dxf>
    <dxf>
      <fill>
        <patternFill>
          <bgColor rgb="FFFF0000"/>
        </patternFill>
      </fill>
    </dxf>
    <dxf>
      <fill>
        <patternFill>
          <bgColor rgb="FFFF66FF"/>
        </patternFill>
      </fill>
    </dxf>
    <dxf>
      <fill>
        <patternFill>
          <bgColor rgb="FF00B0F0"/>
        </patternFill>
      </fill>
    </dxf>
    <dxf>
      <fill>
        <patternFill>
          <bgColor rgb="FFFFFF00"/>
        </patternFill>
      </fill>
    </dxf>
    <dxf>
      <fill>
        <patternFill>
          <bgColor theme="5" tint="-0.24994659260841701"/>
        </patternFill>
      </fill>
    </dxf>
    <dxf>
      <fill>
        <patternFill>
          <bgColor theme="9"/>
        </patternFill>
      </fill>
    </dxf>
    <dxf>
      <fill>
        <patternFill>
          <bgColor rgb="FF92D050"/>
        </patternFill>
      </fill>
    </dxf>
    <dxf>
      <fill>
        <patternFill>
          <bgColor rgb="FF92D050"/>
        </patternFill>
      </fill>
    </dxf>
    <dxf>
      <fill>
        <patternFill>
          <bgColor theme="5"/>
        </patternFill>
      </fill>
    </dxf>
    <dxf>
      <fill>
        <patternFill>
          <bgColor rgb="FFFF66FF"/>
        </patternFill>
      </fill>
    </dxf>
    <dxf>
      <fill>
        <patternFill>
          <bgColor theme="5" tint="-0.24994659260841701"/>
        </patternFill>
      </fill>
    </dxf>
    <dxf>
      <fill>
        <patternFill>
          <bgColor theme="9"/>
        </patternFill>
      </fill>
    </dxf>
    <dxf>
      <fill>
        <patternFill>
          <bgColor rgb="FFFFFF00"/>
        </patternFill>
      </fill>
    </dxf>
    <dxf>
      <fill>
        <patternFill>
          <bgColor rgb="FFFF66FF"/>
        </patternFill>
      </fill>
    </dxf>
    <dxf>
      <fill>
        <patternFill>
          <bgColor rgb="FFFF0000"/>
        </patternFill>
      </fill>
    </dxf>
    <dxf>
      <fill>
        <patternFill>
          <bgColor rgb="FF00B0F0"/>
        </patternFill>
      </fill>
    </dxf>
    <dxf>
      <fill>
        <patternFill>
          <bgColor rgb="FFFF66FF"/>
        </patternFill>
      </fill>
    </dxf>
    <dxf>
      <fill>
        <patternFill>
          <bgColor rgb="FFFFFF00"/>
        </patternFill>
      </fill>
    </dxf>
    <dxf>
      <fill>
        <patternFill>
          <bgColor theme="5" tint="-0.24994659260841701"/>
        </patternFill>
      </fill>
    </dxf>
    <dxf>
      <fill>
        <patternFill>
          <bgColor theme="9"/>
        </patternFill>
      </fill>
    </dxf>
    <dxf>
      <fill>
        <patternFill>
          <bgColor rgb="FFFF0000"/>
        </patternFill>
      </fill>
    </dxf>
    <dxf>
      <fill>
        <patternFill>
          <bgColor rgb="FF00B0F0"/>
        </patternFill>
      </fill>
    </dxf>
    <dxf>
      <fill>
        <patternFill>
          <bgColor rgb="FFFF66FF"/>
        </patternFill>
      </fill>
    </dxf>
    <dxf>
      <fill>
        <patternFill>
          <bgColor rgb="FF92D050"/>
        </patternFill>
      </fill>
    </dxf>
    <dxf>
      <fill>
        <patternFill>
          <bgColor theme="5"/>
        </patternFill>
      </fill>
    </dxf>
    <dxf>
      <fill>
        <patternFill>
          <bgColor rgb="FFFF66FF"/>
        </patternFill>
      </fill>
    </dxf>
    <dxf>
      <fill>
        <patternFill>
          <bgColor rgb="FFFF66FF"/>
        </patternFill>
      </fill>
    </dxf>
    <dxf>
      <fill>
        <patternFill>
          <bgColor rgb="FFFF66FF"/>
        </patternFill>
      </fill>
    </dxf>
    <dxf>
      <fill>
        <patternFill>
          <bgColor rgb="FFFF66FF"/>
        </patternFill>
      </fill>
    </dxf>
    <dxf>
      <fill>
        <patternFill>
          <bgColor rgb="FF00B0F0"/>
        </patternFill>
      </fill>
    </dxf>
    <dxf>
      <fill>
        <patternFill>
          <bgColor theme="5"/>
        </patternFill>
      </fill>
    </dxf>
    <dxf>
      <fill>
        <patternFill>
          <bgColor rgb="FF92D050"/>
        </patternFill>
      </fill>
    </dxf>
    <dxf>
      <fill>
        <patternFill>
          <bgColor rgb="FFFF0000"/>
        </patternFill>
      </fill>
    </dxf>
    <dxf>
      <fill>
        <patternFill>
          <bgColor theme="9"/>
        </patternFill>
      </fill>
    </dxf>
    <dxf>
      <fill>
        <patternFill>
          <bgColor theme="5" tint="-0.24994659260841701"/>
        </patternFill>
      </fill>
    </dxf>
    <dxf>
      <fill>
        <patternFill>
          <bgColor rgb="FFFFFF00"/>
        </patternFill>
      </fill>
    </dxf>
    <dxf>
      <fill>
        <patternFill>
          <bgColor rgb="FFFF66FF"/>
        </patternFill>
      </fill>
    </dxf>
    <dxf>
      <fill>
        <patternFill>
          <bgColor rgb="FF00B0F0"/>
        </patternFill>
      </fill>
    </dxf>
    <dxf>
      <fill>
        <patternFill>
          <bgColor rgb="FFFFFF00"/>
        </patternFill>
      </fill>
    </dxf>
    <dxf>
      <fill>
        <patternFill>
          <bgColor theme="5" tint="-0.24994659260841701"/>
        </patternFill>
      </fill>
    </dxf>
    <dxf>
      <fill>
        <patternFill>
          <bgColor theme="9"/>
        </patternFill>
      </fill>
    </dxf>
    <dxf>
      <fill>
        <patternFill>
          <bgColor theme="5"/>
        </patternFill>
      </fill>
    </dxf>
    <dxf>
      <fill>
        <patternFill>
          <bgColor rgb="FF92D050"/>
        </patternFill>
      </fill>
    </dxf>
    <dxf>
      <fill>
        <patternFill>
          <bgColor rgb="FFFF66FF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00B0F0"/>
        </patternFill>
      </fill>
    </dxf>
    <dxf>
      <fill>
        <patternFill>
          <bgColor rgb="FFFF66FF"/>
        </patternFill>
      </fill>
    </dxf>
    <dxf>
      <fill>
        <patternFill>
          <bgColor rgb="FFFFFF00"/>
        </patternFill>
      </fill>
    </dxf>
    <dxf>
      <fill>
        <patternFill>
          <bgColor theme="5" tint="-0.24994659260841701"/>
        </patternFill>
      </fill>
    </dxf>
    <dxf>
      <fill>
        <patternFill>
          <bgColor theme="9"/>
        </patternFill>
      </fill>
    </dxf>
    <dxf>
      <fill>
        <patternFill>
          <bgColor rgb="FF92D050"/>
        </patternFill>
      </fill>
    </dxf>
    <dxf>
      <fill>
        <patternFill>
          <bgColor theme="5"/>
        </patternFill>
      </fill>
    </dxf>
    <dxf>
      <fill>
        <patternFill>
          <bgColor rgb="FF00B0F0"/>
        </patternFill>
      </fill>
    </dxf>
    <dxf>
      <fill>
        <patternFill>
          <bgColor rgb="FFFF0000"/>
        </patternFill>
      </fill>
    </dxf>
    <dxf>
      <fill>
        <patternFill>
          <bgColor rgb="FFFF66FF"/>
        </patternFill>
      </fill>
    </dxf>
    <dxf>
      <fill>
        <patternFill>
          <bgColor rgb="FFFF66FF"/>
        </patternFill>
      </fill>
    </dxf>
    <dxf>
      <fill>
        <patternFill>
          <bgColor rgb="FFFF66FF"/>
        </patternFill>
      </fill>
    </dxf>
    <dxf>
      <fill>
        <patternFill>
          <bgColor rgb="FFFF66FF"/>
        </patternFill>
      </fill>
    </dxf>
    <dxf>
      <fill>
        <patternFill>
          <bgColor rgb="FFFF66FF"/>
        </patternFill>
      </fill>
    </dxf>
    <dxf>
      <fill>
        <patternFill>
          <bgColor rgb="FFFF66FF"/>
        </patternFill>
      </fill>
    </dxf>
    <dxf>
      <fill>
        <patternFill>
          <bgColor theme="5"/>
        </patternFill>
      </fill>
    </dxf>
    <dxf>
      <fill>
        <patternFill>
          <bgColor theme="9"/>
        </patternFill>
      </fill>
    </dxf>
    <dxf>
      <fill>
        <patternFill>
          <bgColor theme="5" tint="-0.24994659260841701"/>
        </patternFill>
      </fill>
    </dxf>
    <dxf>
      <fill>
        <patternFill>
          <bgColor rgb="FFFFFF00"/>
        </patternFill>
      </fill>
    </dxf>
    <dxf>
      <fill>
        <patternFill>
          <bgColor rgb="FF00B0F0"/>
        </patternFill>
      </fill>
    </dxf>
    <dxf>
      <fill>
        <patternFill>
          <bgColor rgb="FFFF0000"/>
        </patternFill>
      </fill>
    </dxf>
    <dxf>
      <fill>
        <patternFill>
          <bgColor rgb="FF92D050"/>
        </patternFill>
      </fill>
    </dxf>
    <dxf>
      <fill>
        <patternFill>
          <bgColor rgb="FF00B0F0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FF66FF"/>
        </patternFill>
      </fill>
    </dxf>
    <dxf>
      <fill>
        <patternFill>
          <bgColor theme="5" tint="-0.24994659260841701"/>
        </patternFill>
      </fill>
    </dxf>
    <dxf>
      <fill>
        <patternFill>
          <bgColor rgb="FFFFFF00"/>
        </patternFill>
      </fill>
    </dxf>
    <dxf>
      <fill>
        <patternFill>
          <bgColor rgb="FF00B0F0"/>
        </patternFill>
      </fill>
    </dxf>
    <dxf>
      <fill>
        <patternFill>
          <bgColor rgb="FFFF0000"/>
        </patternFill>
      </fill>
    </dxf>
    <dxf>
      <fill>
        <patternFill>
          <bgColor rgb="FFFF66FF"/>
        </patternFill>
      </fill>
    </dxf>
    <dxf>
      <fill>
        <patternFill>
          <bgColor rgb="FF92D050"/>
        </patternFill>
      </fill>
    </dxf>
    <dxf>
      <fill>
        <patternFill>
          <bgColor theme="5"/>
        </patternFill>
      </fill>
    </dxf>
    <dxf>
      <fill>
        <patternFill>
          <bgColor theme="9"/>
        </patternFill>
      </fill>
    </dxf>
    <dxf>
      <fill>
        <patternFill>
          <bgColor rgb="FF00B0F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FF66FF"/>
        </patternFill>
      </fill>
    </dxf>
    <dxf>
      <fill>
        <patternFill>
          <bgColor rgb="FFFFFF00"/>
        </patternFill>
      </fill>
    </dxf>
    <dxf>
      <fill>
        <patternFill>
          <bgColor theme="5" tint="-0.24994659260841701"/>
        </patternFill>
      </fill>
    </dxf>
    <dxf>
      <fill>
        <patternFill>
          <bgColor rgb="FF00B0F0"/>
        </patternFill>
      </fill>
    </dxf>
    <dxf>
      <fill>
        <patternFill>
          <bgColor theme="9"/>
        </patternFill>
      </fill>
    </dxf>
    <dxf>
      <fill>
        <patternFill>
          <bgColor rgb="FF92D050"/>
        </patternFill>
      </fill>
    </dxf>
    <dxf>
      <fill>
        <patternFill>
          <bgColor theme="5"/>
        </patternFill>
      </fill>
    </dxf>
    <dxf>
      <fill>
        <patternFill>
          <bgColor rgb="FFFF66FF"/>
        </patternFill>
      </fill>
    </dxf>
    <dxf>
      <fill>
        <patternFill>
          <bgColor rgb="FFFF0000"/>
        </patternFill>
      </fill>
    </dxf>
    <dxf>
      <fill>
        <patternFill>
          <bgColor rgb="FF00B0F0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FF66FF"/>
        </patternFill>
      </fill>
    </dxf>
    <dxf>
      <fill>
        <patternFill>
          <bgColor rgb="FF00B0F0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00B0F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00B0F0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00B0F0"/>
        </patternFill>
      </fill>
    </dxf>
    <dxf>
      <fill>
        <patternFill>
          <bgColor rgb="FF00B0F0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theme="5"/>
        </patternFill>
      </fill>
    </dxf>
    <dxf>
      <fill>
        <patternFill>
          <bgColor rgb="FFFF0000"/>
        </patternFill>
      </fill>
    </dxf>
    <dxf>
      <fill>
        <patternFill>
          <bgColor rgb="FF00B0F0"/>
        </patternFill>
      </fill>
    </dxf>
    <dxf>
      <fill>
        <patternFill>
          <bgColor rgb="FFFF66FF"/>
        </patternFill>
      </fill>
    </dxf>
    <dxf>
      <fill>
        <patternFill>
          <bgColor rgb="FFFFFF00"/>
        </patternFill>
      </fill>
    </dxf>
    <dxf>
      <fill>
        <patternFill>
          <bgColor rgb="FF00B0F0"/>
        </patternFill>
      </fill>
    </dxf>
    <dxf>
      <fill>
        <patternFill>
          <bgColor rgb="FFFFFF00"/>
        </patternFill>
      </fill>
    </dxf>
    <dxf>
      <fill>
        <patternFill>
          <bgColor theme="5"/>
        </patternFill>
      </fill>
    </dxf>
    <dxf>
      <fill>
        <patternFill>
          <bgColor rgb="FF92D050"/>
        </patternFill>
      </fill>
    </dxf>
    <dxf>
      <fill>
        <patternFill>
          <bgColor theme="5"/>
        </patternFill>
      </fill>
    </dxf>
    <dxf>
      <fill>
        <patternFill>
          <bgColor theme="5"/>
        </patternFill>
      </fill>
    </dxf>
    <dxf>
      <fill>
        <patternFill>
          <bgColor theme="5"/>
        </patternFill>
      </fill>
    </dxf>
    <dxf>
      <fill>
        <patternFill>
          <bgColor rgb="FF92D050"/>
        </patternFill>
      </fill>
    </dxf>
    <dxf>
      <fill>
        <patternFill>
          <bgColor theme="9"/>
        </patternFill>
      </fill>
    </dxf>
    <dxf>
      <fill>
        <patternFill>
          <bgColor theme="5" tint="-0.24994659260841701"/>
        </patternFill>
      </fill>
    </dxf>
    <dxf>
      <fill>
        <patternFill>
          <bgColor rgb="FFFFFF00"/>
        </patternFill>
      </fill>
    </dxf>
    <dxf>
      <fill>
        <patternFill>
          <bgColor rgb="FF00B0F0"/>
        </patternFill>
      </fill>
    </dxf>
    <dxf>
      <fill>
        <patternFill>
          <bgColor rgb="FFFF0000"/>
        </patternFill>
      </fill>
    </dxf>
    <dxf>
      <fill>
        <patternFill>
          <bgColor rgb="FFFF66FF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00B0F0"/>
        </patternFill>
      </fill>
    </dxf>
    <dxf>
      <fill>
        <patternFill>
          <bgColor rgb="FF00B0F0"/>
        </patternFill>
      </fill>
    </dxf>
    <dxf>
      <fill>
        <patternFill>
          <bgColor rgb="FFFF66FF"/>
        </patternFill>
      </fill>
    </dxf>
    <dxf>
      <fill>
        <patternFill>
          <bgColor rgb="FFFF0000"/>
        </patternFill>
      </fill>
    </dxf>
    <dxf>
      <fill>
        <patternFill>
          <bgColor rgb="FF92D050"/>
        </patternFill>
      </fill>
    </dxf>
    <dxf>
      <fill>
        <patternFill>
          <bgColor theme="5"/>
        </patternFill>
      </fill>
    </dxf>
    <dxf>
      <fill>
        <patternFill>
          <bgColor rgb="FFFF66FF"/>
        </patternFill>
      </fill>
    </dxf>
    <dxf>
      <fill>
        <patternFill>
          <bgColor theme="5" tint="-0.24994659260841701"/>
        </patternFill>
      </fill>
    </dxf>
    <dxf>
      <fill>
        <patternFill>
          <bgColor theme="9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00B0F0"/>
        </patternFill>
      </fill>
    </dxf>
    <dxf>
      <fill>
        <patternFill>
          <bgColor theme="5"/>
        </patternFill>
      </fill>
    </dxf>
    <dxf>
      <fill>
        <patternFill>
          <bgColor rgb="FFFF0000"/>
        </patternFill>
      </fill>
    </dxf>
    <dxf>
      <fill>
        <patternFill>
          <bgColor theme="5"/>
        </patternFill>
      </fill>
    </dxf>
    <dxf>
      <fill>
        <patternFill>
          <bgColor rgb="FF00B0F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00B0F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00B0F0"/>
        </patternFill>
      </fill>
    </dxf>
    <dxf>
      <fill>
        <patternFill>
          <bgColor theme="5"/>
        </patternFill>
      </fill>
    </dxf>
    <dxf>
      <fill>
        <patternFill>
          <bgColor theme="5"/>
        </patternFill>
      </fill>
    </dxf>
    <dxf>
      <fill>
        <patternFill>
          <bgColor rgb="FFFF0000"/>
        </patternFill>
      </fill>
    </dxf>
    <dxf>
      <fill>
        <patternFill>
          <bgColor theme="5"/>
        </patternFill>
      </fill>
    </dxf>
    <dxf>
      <fill>
        <patternFill>
          <bgColor rgb="FF00B0F0"/>
        </patternFill>
      </fill>
    </dxf>
    <dxf>
      <fill>
        <patternFill>
          <bgColor rgb="FFFFFF00"/>
        </patternFill>
      </fill>
    </dxf>
    <dxf>
      <fill>
        <patternFill>
          <bgColor theme="5"/>
        </patternFill>
      </fill>
    </dxf>
    <dxf>
      <fill>
        <patternFill>
          <bgColor rgb="FF00B0F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00B0F0"/>
        </patternFill>
      </fill>
    </dxf>
    <dxf>
      <fill>
        <patternFill>
          <bgColor theme="5"/>
        </patternFill>
      </fill>
    </dxf>
    <dxf>
      <fill>
        <patternFill>
          <bgColor rgb="FF00B0F0"/>
        </patternFill>
      </fill>
    </dxf>
    <dxf>
      <fill>
        <patternFill>
          <bgColor theme="5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00B0F0"/>
        </patternFill>
      </fill>
    </dxf>
    <dxf>
      <fill>
        <patternFill>
          <bgColor theme="5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00B0F0"/>
        </patternFill>
      </fill>
    </dxf>
    <dxf>
      <fill>
        <patternFill>
          <bgColor theme="5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00B0F0"/>
        </patternFill>
      </fill>
    </dxf>
    <dxf>
      <fill>
        <patternFill>
          <bgColor theme="5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00B0F0"/>
        </patternFill>
      </fill>
    </dxf>
    <dxf>
      <fill>
        <patternFill>
          <bgColor theme="5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00B0F0"/>
        </patternFill>
      </fill>
    </dxf>
    <dxf>
      <fill>
        <patternFill>
          <bgColor theme="5"/>
        </patternFill>
      </fill>
    </dxf>
    <dxf>
      <fill>
        <patternFill>
          <bgColor rgb="FFFF0000"/>
        </patternFill>
      </fill>
    </dxf>
    <dxf>
      <fill>
        <patternFill>
          <bgColor theme="5"/>
        </patternFill>
      </fill>
    </dxf>
    <dxf>
      <fill>
        <patternFill>
          <bgColor rgb="FFFFFF00"/>
        </patternFill>
      </fill>
    </dxf>
    <dxf>
      <fill>
        <patternFill>
          <bgColor rgb="FF00B0F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00B0F0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00B0F0"/>
        </patternFill>
      </fill>
    </dxf>
    <dxf>
      <fill>
        <patternFill>
          <bgColor theme="5"/>
        </patternFill>
      </fill>
    </dxf>
    <dxf>
      <fill>
        <patternFill>
          <bgColor theme="5"/>
        </patternFill>
      </fill>
    </dxf>
    <dxf>
      <fill>
        <patternFill>
          <bgColor rgb="FF00B0F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00B0F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00B0F0"/>
        </patternFill>
      </fill>
    </dxf>
    <dxf>
      <fill>
        <patternFill>
          <bgColor rgb="FF00B0F0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00B0F0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00B0F0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00B0F0"/>
        </patternFill>
      </fill>
    </dxf>
    <dxf>
      <fill>
        <patternFill>
          <bgColor rgb="FF00B0F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00B0F0"/>
        </patternFill>
      </fill>
    </dxf>
    <dxf>
      <fill>
        <patternFill>
          <bgColor rgb="FFFFFF00"/>
        </patternFill>
      </fill>
    </dxf>
    <dxf>
      <fill>
        <patternFill>
          <bgColor theme="5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00B0F0"/>
        </patternFill>
      </fill>
    </dxf>
    <dxf>
      <fill>
        <patternFill>
          <bgColor rgb="FFFF0000"/>
        </patternFill>
      </fill>
    </dxf>
    <dxf>
      <fill>
        <patternFill>
          <bgColor rgb="FF00B0F0"/>
        </patternFill>
      </fill>
    </dxf>
    <dxf>
      <fill>
        <patternFill>
          <bgColor rgb="FFFFFF00"/>
        </patternFill>
      </fill>
    </dxf>
    <dxf>
      <fill>
        <patternFill>
          <bgColor rgb="FF00B0F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00B0F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00B0F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00B0F0"/>
        </patternFill>
      </fill>
    </dxf>
    <dxf>
      <fill>
        <patternFill>
          <bgColor rgb="FFFF0000"/>
        </patternFill>
      </fill>
    </dxf>
    <dxf>
      <fill>
        <patternFill>
          <bgColor theme="5"/>
        </patternFill>
      </fill>
    </dxf>
    <dxf>
      <fill>
        <patternFill>
          <bgColor theme="5"/>
        </patternFill>
      </fill>
    </dxf>
    <dxf>
      <fill>
        <patternFill>
          <bgColor theme="5"/>
        </patternFill>
      </fill>
    </dxf>
    <dxf>
      <fill>
        <patternFill>
          <bgColor rgb="FFFFFF00"/>
        </patternFill>
      </fill>
    </dxf>
    <dxf>
      <fill>
        <patternFill>
          <bgColor rgb="FF00B0F0"/>
        </patternFill>
      </fill>
    </dxf>
    <dxf>
      <fill>
        <patternFill>
          <bgColor rgb="FFFF0000"/>
        </patternFill>
      </fill>
    </dxf>
    <dxf>
      <fill>
        <patternFill>
          <bgColor rgb="FF00B0F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00B0F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theme="5"/>
        </patternFill>
      </fill>
    </dxf>
    <dxf>
      <fill>
        <patternFill>
          <bgColor theme="5"/>
        </patternFill>
      </fill>
    </dxf>
    <dxf>
      <fill>
        <patternFill>
          <bgColor rgb="FF00B0F0"/>
        </patternFill>
      </fill>
    </dxf>
    <dxf>
      <fill>
        <patternFill>
          <bgColor rgb="FFFFFF00"/>
        </patternFill>
      </fill>
    </dxf>
    <dxf>
      <fill>
        <patternFill>
          <bgColor theme="5"/>
        </patternFill>
      </fill>
    </dxf>
    <dxf>
      <fill>
        <patternFill>
          <bgColor rgb="FF00B0F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4"/>
        <color theme="1"/>
        <name val="Century Gothic"/>
        <scheme val="none"/>
      </font>
      <alignment horizontal="center" vertical="center" textRotation="0" wrapText="1" indent="0" justifyLastLine="0" shrinkToFit="0" readingOrder="0"/>
      <border diagonalUp="0" diagonalDown="0">
        <left/>
        <right/>
        <top style="thin">
          <color indexed="64"/>
        </top>
        <bottom style="thin">
          <color indexed="64"/>
        </bottom>
        <vertical/>
        <horizontal/>
      </border>
    </dxf>
    <dxf>
      <border outline="0">
        <top style="thin">
          <color indexed="64"/>
        </top>
      </border>
    </dxf>
    <dxf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4"/>
        <color theme="1"/>
        <name val="Century Gothic"/>
        <scheme val="none"/>
      </font>
      <alignment horizontal="center" vertical="center" textRotation="0" wrapText="1" indent="0" justifyLastLine="0" shrinkToFit="0" readingOrder="0"/>
    </dxf>
    <dxf>
      <border outline="0"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4"/>
        <color theme="1"/>
        <name val="Century Gothic"/>
        <scheme val="none"/>
      </font>
      <alignment horizontal="center" vertical="center" textRotation="0" wrapText="1" indent="0" justifyLastLine="0" shrinkToFit="0" readingOrder="0"/>
    </dxf>
  </dxfs>
  <tableStyles count="0" defaultTableStyle="TableStyleMedium2" defaultPivotStyle="PivotStyleLight16"/>
  <colors>
    <mruColors>
      <color rgb="FFFF66FF"/>
      <color rgb="FFF77F07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drawings/_rels/vmlDrawing1.v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_rels/vmlDrawing2.v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_rels/vmlDrawing3.v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_rels/vmlDrawing4.v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00000000-000C-0000-FFFF-FFFF00000000}" name="Table2" displayName="Table2" ref="G72:G78" totalsRowShown="0" headerRowDxfId="358" dataDxfId="356" headerRowBorderDxfId="357" tableBorderDxfId="355" totalsRowBorderDxfId="354">
  <autoFilter ref="G72:G78" xr:uid="{00000000-0009-0000-0100-000002000000}"/>
  <tableColumns count="1">
    <tableColumn id="1" xr3:uid="{00000000-0010-0000-0000-000001000000}" name="ESTADO " dataDxfId="353"/>
  </tableColumns>
  <tableStyleInfo name="TableStyleMedium17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table" Target="../tables/table1.xml"/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vmlDrawing" Target="../drawings/vmlDrawing2.vml"/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vmlDrawing" Target="../drawings/vmlDrawing3.vml"/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vmlDrawing" Target="../drawings/vmlDrawing4.vml"/><Relationship Id="rId1" Type="http://schemas.openxmlformats.org/officeDocument/2006/relationships/printerSettings" Target="../printerSettings/printerSettings4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tabColor rgb="FFC00000"/>
  </sheetPr>
  <dimension ref="A1:J205"/>
  <sheetViews>
    <sheetView view="pageBreakPreview" topLeftCell="A25" zoomScaleNormal="30" zoomScaleSheetLayoutView="100" zoomScalePageLayoutView="40" workbookViewId="0">
      <selection activeCell="I29" sqref="I29"/>
    </sheetView>
  </sheetViews>
  <sheetFormatPr baseColWidth="10" defaultColWidth="9.28515625" defaultRowHeight="39.950000000000003" customHeight="1" x14ac:dyDescent="0.25"/>
  <cols>
    <col min="1" max="1" width="9.28515625" style="32"/>
    <col min="2" max="2" width="70.7109375" style="32" customWidth="1"/>
    <col min="3" max="6" width="9.28515625" style="32"/>
    <col min="7" max="7" width="43.42578125" style="32" customWidth="1"/>
    <col min="8" max="16384" width="9.28515625" style="32"/>
  </cols>
  <sheetData>
    <row r="1" spans="1:2" ht="39.950000000000003" customHeight="1" x14ac:dyDescent="0.25">
      <c r="A1" s="19" t="s">
        <v>10</v>
      </c>
      <c r="B1" s="19" t="s">
        <v>7</v>
      </c>
    </row>
    <row r="2" spans="1:2" ht="39.950000000000003" customHeight="1" x14ac:dyDescent="0.25">
      <c r="A2" s="19" t="s">
        <v>134</v>
      </c>
      <c r="B2" s="2" t="s">
        <v>129</v>
      </c>
    </row>
    <row r="3" spans="1:2" ht="39.950000000000003" customHeight="1" x14ac:dyDescent="0.25">
      <c r="A3" s="19" t="s">
        <v>135</v>
      </c>
      <c r="B3" s="2" t="s">
        <v>106</v>
      </c>
    </row>
    <row r="4" spans="1:2" ht="39.950000000000003" customHeight="1" x14ac:dyDescent="0.25">
      <c r="A4" s="19" t="s">
        <v>136</v>
      </c>
      <c r="B4" s="2" t="s">
        <v>106</v>
      </c>
    </row>
    <row r="5" spans="1:2" ht="39.950000000000003" customHeight="1" x14ac:dyDescent="0.25">
      <c r="A5" s="19" t="s">
        <v>137</v>
      </c>
      <c r="B5" s="2" t="s">
        <v>107</v>
      </c>
    </row>
    <row r="6" spans="1:2" ht="39.950000000000003" customHeight="1" x14ac:dyDescent="0.25">
      <c r="A6" s="19" t="s">
        <v>138</v>
      </c>
      <c r="B6" s="2" t="s">
        <v>108</v>
      </c>
    </row>
    <row r="7" spans="1:2" ht="39.950000000000003" customHeight="1" x14ac:dyDescent="0.25">
      <c r="A7" s="19" t="s">
        <v>139</v>
      </c>
      <c r="B7" s="2" t="s">
        <v>109</v>
      </c>
    </row>
    <row r="8" spans="1:2" ht="39.950000000000003" customHeight="1" x14ac:dyDescent="0.25">
      <c r="A8" s="19" t="s">
        <v>304</v>
      </c>
      <c r="B8" s="20"/>
    </row>
    <row r="9" spans="1:2" ht="39.950000000000003" customHeight="1" x14ac:dyDescent="0.25">
      <c r="A9" s="19" t="s">
        <v>305</v>
      </c>
      <c r="B9" s="20"/>
    </row>
    <row r="10" spans="1:2" ht="39.950000000000003" customHeight="1" x14ac:dyDescent="0.25">
      <c r="A10" s="19" t="s">
        <v>306</v>
      </c>
      <c r="B10" s="20"/>
    </row>
    <row r="11" spans="1:2" ht="39.950000000000003" customHeight="1" x14ac:dyDescent="0.25">
      <c r="A11" s="19" t="s">
        <v>307</v>
      </c>
      <c r="B11" s="20"/>
    </row>
    <row r="12" spans="1:2" ht="39.950000000000003" customHeight="1" x14ac:dyDescent="0.25">
      <c r="A12" s="19" t="s">
        <v>308</v>
      </c>
      <c r="B12" s="20"/>
    </row>
    <row r="13" spans="1:2" ht="39.950000000000003" customHeight="1" x14ac:dyDescent="0.25">
      <c r="A13" s="19" t="s">
        <v>316</v>
      </c>
      <c r="B13" s="20" t="s">
        <v>361</v>
      </c>
    </row>
    <row r="14" spans="1:2" ht="39.950000000000003" customHeight="1" x14ac:dyDescent="0.25">
      <c r="A14" s="19" t="s">
        <v>317</v>
      </c>
      <c r="B14" s="20" t="s">
        <v>335</v>
      </c>
    </row>
    <row r="15" spans="1:2" ht="39.950000000000003" customHeight="1" x14ac:dyDescent="0.25">
      <c r="A15" s="19" t="s">
        <v>318</v>
      </c>
      <c r="B15" s="20" t="s">
        <v>336</v>
      </c>
    </row>
    <row r="16" spans="1:2" ht="39.950000000000003" customHeight="1" x14ac:dyDescent="0.25">
      <c r="A16" s="19" t="s">
        <v>319</v>
      </c>
      <c r="B16" s="20" t="s">
        <v>320</v>
      </c>
    </row>
    <row r="17" spans="1:2" ht="39.950000000000003" customHeight="1" x14ac:dyDescent="0.25">
      <c r="A17" s="19" t="s">
        <v>352</v>
      </c>
      <c r="B17" s="20" t="s">
        <v>360</v>
      </c>
    </row>
    <row r="18" spans="1:2" ht="39.950000000000003" customHeight="1" x14ac:dyDescent="0.25">
      <c r="A18" s="19" t="s">
        <v>353</v>
      </c>
      <c r="B18" s="20">
        <v>0</v>
      </c>
    </row>
    <row r="19" spans="1:2" ht="39.950000000000003" customHeight="1" x14ac:dyDescent="0.25">
      <c r="A19" s="19" t="s">
        <v>186</v>
      </c>
      <c r="B19" s="20" t="s">
        <v>70</v>
      </c>
    </row>
    <row r="20" spans="1:2" ht="39.950000000000003" customHeight="1" x14ac:dyDescent="0.25">
      <c r="A20" s="19" t="s">
        <v>187</v>
      </c>
      <c r="B20" s="20" t="s">
        <v>71</v>
      </c>
    </row>
    <row r="21" spans="1:2" ht="39.950000000000003" customHeight="1" x14ac:dyDescent="0.25">
      <c r="A21" s="19" t="s">
        <v>188</v>
      </c>
      <c r="B21" s="20" t="s">
        <v>72</v>
      </c>
    </row>
    <row r="22" spans="1:2" ht="39.950000000000003" customHeight="1" x14ac:dyDescent="0.25">
      <c r="A22" s="19" t="s">
        <v>189</v>
      </c>
      <c r="B22" s="20" t="s">
        <v>351</v>
      </c>
    </row>
    <row r="23" spans="1:2" ht="39.950000000000003" customHeight="1" x14ac:dyDescent="0.25">
      <c r="A23" s="19" t="s">
        <v>190</v>
      </c>
      <c r="B23" s="20" t="s">
        <v>363</v>
      </c>
    </row>
    <row r="24" spans="1:2" ht="39.950000000000003" customHeight="1" x14ac:dyDescent="0.25">
      <c r="A24" s="19" t="s">
        <v>191</v>
      </c>
      <c r="B24" s="20" t="s">
        <v>364</v>
      </c>
    </row>
    <row r="25" spans="1:2" ht="39.950000000000003" customHeight="1" x14ac:dyDescent="0.25">
      <c r="A25" s="19" t="s">
        <v>192</v>
      </c>
      <c r="B25" s="20">
        <v>0</v>
      </c>
    </row>
    <row r="26" spans="1:2" ht="39.950000000000003" customHeight="1" x14ac:dyDescent="0.25">
      <c r="A26" s="19" t="s">
        <v>301</v>
      </c>
      <c r="B26" s="20" t="s">
        <v>35</v>
      </c>
    </row>
    <row r="27" spans="1:2" ht="39.950000000000003" customHeight="1" x14ac:dyDescent="0.25">
      <c r="A27" s="19" t="s">
        <v>193</v>
      </c>
      <c r="B27" s="20" t="s">
        <v>2</v>
      </c>
    </row>
    <row r="28" spans="1:2" ht="39.950000000000003" customHeight="1" x14ac:dyDescent="0.25">
      <c r="A28" s="19" t="s">
        <v>194</v>
      </c>
      <c r="B28" s="1" t="s">
        <v>8</v>
      </c>
    </row>
    <row r="29" spans="1:2" ht="39.950000000000003" customHeight="1" x14ac:dyDescent="0.25">
      <c r="A29" s="19" t="s">
        <v>195</v>
      </c>
      <c r="B29" s="1" t="s">
        <v>310</v>
      </c>
    </row>
    <row r="30" spans="1:2" ht="39.950000000000003" customHeight="1" x14ac:dyDescent="0.25">
      <c r="A30" s="19" t="s">
        <v>196</v>
      </c>
      <c r="B30" s="20" t="s">
        <v>36</v>
      </c>
    </row>
    <row r="31" spans="1:2" ht="39.950000000000003" customHeight="1" x14ac:dyDescent="0.25">
      <c r="A31" s="19" t="s">
        <v>197</v>
      </c>
      <c r="B31" s="20">
        <v>0</v>
      </c>
    </row>
    <row r="32" spans="1:2" ht="39.950000000000003" customHeight="1" x14ac:dyDescent="0.25">
      <c r="A32" s="19" t="s">
        <v>198</v>
      </c>
      <c r="B32" s="20" t="s">
        <v>337</v>
      </c>
    </row>
    <row r="33" spans="1:2" ht="39.950000000000003" customHeight="1" x14ac:dyDescent="0.25">
      <c r="A33" s="19" t="s">
        <v>199</v>
      </c>
      <c r="B33" s="20" t="s">
        <v>37</v>
      </c>
    </row>
    <row r="34" spans="1:2" ht="39.950000000000003" customHeight="1" x14ac:dyDescent="0.25">
      <c r="A34" s="21" t="s">
        <v>200</v>
      </c>
      <c r="B34" s="20" t="s">
        <v>38</v>
      </c>
    </row>
    <row r="35" spans="1:2" ht="39.950000000000003" customHeight="1" x14ac:dyDescent="0.25">
      <c r="A35" s="19" t="s">
        <v>201</v>
      </c>
      <c r="B35" s="20" t="s">
        <v>39</v>
      </c>
    </row>
    <row r="36" spans="1:2" ht="39.950000000000003" customHeight="1" x14ac:dyDescent="0.25">
      <c r="A36" s="19" t="s">
        <v>202</v>
      </c>
      <c r="B36" s="20" t="s">
        <v>40</v>
      </c>
    </row>
    <row r="37" spans="1:2" ht="39.950000000000003" customHeight="1" x14ac:dyDescent="0.25">
      <c r="A37" s="19" t="s">
        <v>203</v>
      </c>
      <c r="B37" s="20" t="s">
        <v>30</v>
      </c>
    </row>
    <row r="38" spans="1:2" ht="39.950000000000003" customHeight="1" x14ac:dyDescent="0.25">
      <c r="A38" s="19" t="s">
        <v>204</v>
      </c>
      <c r="B38" s="20" t="s">
        <v>41</v>
      </c>
    </row>
    <row r="39" spans="1:2" ht="39.950000000000003" customHeight="1" x14ac:dyDescent="0.25">
      <c r="A39" s="19" t="s">
        <v>205</v>
      </c>
      <c r="B39" s="20" t="s">
        <v>42</v>
      </c>
    </row>
    <row r="40" spans="1:2" ht="39.950000000000003" customHeight="1" x14ac:dyDescent="0.25">
      <c r="A40" s="19" t="s">
        <v>206</v>
      </c>
      <c r="B40" s="20" t="s">
        <v>110</v>
      </c>
    </row>
    <row r="41" spans="1:2" ht="39.950000000000003" customHeight="1" x14ac:dyDescent="0.25">
      <c r="A41" s="19" t="s">
        <v>207</v>
      </c>
      <c r="B41" s="20" t="s">
        <v>43</v>
      </c>
    </row>
    <row r="42" spans="1:2" ht="39.950000000000003" customHeight="1" x14ac:dyDescent="0.25">
      <c r="A42" s="19" t="s">
        <v>208</v>
      </c>
      <c r="B42" s="20" t="s">
        <v>44</v>
      </c>
    </row>
    <row r="43" spans="1:2" ht="39.950000000000003" customHeight="1" x14ac:dyDescent="0.25">
      <c r="A43" s="19" t="s">
        <v>209</v>
      </c>
      <c r="B43" s="20" t="s">
        <v>309</v>
      </c>
    </row>
    <row r="44" spans="1:2" ht="39.950000000000003" customHeight="1" x14ac:dyDescent="0.25">
      <c r="A44" s="19" t="s">
        <v>210</v>
      </c>
      <c r="B44" s="20" t="s">
        <v>45</v>
      </c>
    </row>
    <row r="45" spans="1:2" ht="39.950000000000003" customHeight="1" x14ac:dyDescent="0.25">
      <c r="A45" s="19" t="s">
        <v>211</v>
      </c>
      <c r="B45" s="20" t="s">
        <v>46</v>
      </c>
    </row>
    <row r="46" spans="1:2" ht="39.950000000000003" customHeight="1" x14ac:dyDescent="0.25">
      <c r="A46" s="19" t="s">
        <v>212</v>
      </c>
      <c r="B46" s="20" t="s">
        <v>47</v>
      </c>
    </row>
    <row r="47" spans="1:2" ht="39.950000000000003" customHeight="1" x14ac:dyDescent="0.25">
      <c r="A47" s="19" t="s">
        <v>213</v>
      </c>
      <c r="B47" s="20" t="s">
        <v>48</v>
      </c>
    </row>
    <row r="48" spans="1:2" ht="39.950000000000003" customHeight="1" x14ac:dyDescent="0.25">
      <c r="A48" s="19" t="s">
        <v>214</v>
      </c>
      <c r="B48" s="20" t="s">
        <v>49</v>
      </c>
    </row>
    <row r="49" spans="1:2" ht="39.950000000000003" customHeight="1" x14ac:dyDescent="0.25">
      <c r="A49" s="19" t="s">
        <v>215</v>
      </c>
      <c r="B49" s="20" t="s">
        <v>51</v>
      </c>
    </row>
    <row r="50" spans="1:2" ht="39.950000000000003" customHeight="1" x14ac:dyDescent="0.25">
      <c r="A50" s="19" t="s">
        <v>216</v>
      </c>
      <c r="B50" s="20" t="s">
        <v>354</v>
      </c>
    </row>
    <row r="51" spans="1:2" ht="39.950000000000003" customHeight="1" x14ac:dyDescent="0.25">
      <c r="A51" s="19" t="s">
        <v>217</v>
      </c>
      <c r="B51" s="20" t="s">
        <v>348</v>
      </c>
    </row>
    <row r="52" spans="1:2" ht="39.950000000000003" customHeight="1" x14ac:dyDescent="0.25">
      <c r="A52" s="19" t="s">
        <v>218</v>
      </c>
      <c r="B52" s="20" t="s">
        <v>349</v>
      </c>
    </row>
    <row r="53" spans="1:2" ht="39.950000000000003" customHeight="1" x14ac:dyDescent="0.25">
      <c r="A53" s="19" t="s">
        <v>219</v>
      </c>
      <c r="B53" s="20" t="s">
        <v>350</v>
      </c>
    </row>
    <row r="54" spans="1:2" ht="39.950000000000003" customHeight="1" x14ac:dyDescent="0.25">
      <c r="A54" s="19" t="s">
        <v>220</v>
      </c>
      <c r="B54" s="20">
        <v>0</v>
      </c>
    </row>
    <row r="55" spans="1:2" ht="39.950000000000003" customHeight="1" x14ac:dyDescent="0.25">
      <c r="A55" s="19" t="s">
        <v>221</v>
      </c>
      <c r="B55" s="20" t="s">
        <v>50</v>
      </c>
    </row>
    <row r="56" spans="1:2" ht="39.950000000000003" customHeight="1" x14ac:dyDescent="0.25">
      <c r="A56" s="19" t="s">
        <v>222</v>
      </c>
      <c r="B56" s="20" t="s">
        <v>73</v>
      </c>
    </row>
    <row r="57" spans="1:2" ht="39.950000000000003" customHeight="1" x14ac:dyDescent="0.25">
      <c r="A57" s="52" t="s">
        <v>223</v>
      </c>
      <c r="B57" s="20" t="s">
        <v>52</v>
      </c>
    </row>
    <row r="58" spans="1:2" ht="39.950000000000003" customHeight="1" x14ac:dyDescent="0.25">
      <c r="A58" s="52" t="s">
        <v>224</v>
      </c>
      <c r="B58" s="20" t="s">
        <v>53</v>
      </c>
    </row>
    <row r="59" spans="1:2" ht="39.950000000000003" customHeight="1" x14ac:dyDescent="0.25">
      <c r="A59" s="52" t="s">
        <v>225</v>
      </c>
      <c r="B59" s="20" t="s">
        <v>54</v>
      </c>
    </row>
    <row r="60" spans="1:2" ht="39.950000000000003" customHeight="1" x14ac:dyDescent="0.25">
      <c r="A60" s="52" t="s">
        <v>226</v>
      </c>
      <c r="B60" s="20" t="s">
        <v>55</v>
      </c>
    </row>
    <row r="61" spans="1:2" ht="39.950000000000003" customHeight="1" x14ac:dyDescent="0.25">
      <c r="A61" s="52" t="s">
        <v>227</v>
      </c>
      <c r="B61" s="20" t="s">
        <v>177</v>
      </c>
    </row>
    <row r="62" spans="1:2" ht="39.950000000000003" customHeight="1" x14ac:dyDescent="0.25">
      <c r="A62" s="52" t="s">
        <v>228</v>
      </c>
      <c r="B62" s="20" t="s">
        <v>178</v>
      </c>
    </row>
    <row r="63" spans="1:2" ht="39.950000000000003" customHeight="1" x14ac:dyDescent="0.25">
      <c r="A63" s="52" t="s">
        <v>229</v>
      </c>
      <c r="B63" s="20" t="s">
        <v>179</v>
      </c>
    </row>
    <row r="64" spans="1:2" ht="39.950000000000003" customHeight="1" x14ac:dyDescent="0.25">
      <c r="A64" s="52" t="s">
        <v>230</v>
      </c>
      <c r="B64" s="20" t="s">
        <v>338</v>
      </c>
    </row>
    <row r="65" spans="1:7" ht="39.950000000000003" customHeight="1" x14ac:dyDescent="0.25">
      <c r="A65" s="52" t="s">
        <v>231</v>
      </c>
      <c r="B65" s="20" t="s">
        <v>174</v>
      </c>
    </row>
    <row r="66" spans="1:7" ht="39.950000000000003" customHeight="1" x14ac:dyDescent="0.25">
      <c r="A66" s="52" t="s">
        <v>232</v>
      </c>
      <c r="B66" s="20" t="s">
        <v>175</v>
      </c>
    </row>
    <row r="67" spans="1:7" ht="39.950000000000003" customHeight="1" x14ac:dyDescent="0.25">
      <c r="A67" s="52" t="s">
        <v>233</v>
      </c>
      <c r="B67" s="20" t="s">
        <v>176</v>
      </c>
    </row>
    <row r="68" spans="1:7" ht="39.950000000000003" customHeight="1" x14ac:dyDescent="0.25">
      <c r="A68" s="52" t="s">
        <v>234</v>
      </c>
      <c r="B68" s="20" t="s">
        <v>339</v>
      </c>
    </row>
    <row r="69" spans="1:7" ht="39.950000000000003" customHeight="1" x14ac:dyDescent="0.25">
      <c r="A69" s="52" t="s">
        <v>235</v>
      </c>
      <c r="B69" s="20" t="s">
        <v>56</v>
      </c>
    </row>
    <row r="70" spans="1:7" ht="39.950000000000003" customHeight="1" x14ac:dyDescent="0.25">
      <c r="A70" s="52" t="s">
        <v>236</v>
      </c>
      <c r="B70" s="20" t="s">
        <v>57</v>
      </c>
    </row>
    <row r="71" spans="1:7" ht="39.950000000000003" customHeight="1" x14ac:dyDescent="0.25">
      <c r="A71" s="52" t="s">
        <v>237</v>
      </c>
      <c r="B71" s="20" t="s">
        <v>58</v>
      </c>
    </row>
    <row r="72" spans="1:7" ht="39.950000000000003" customHeight="1" x14ac:dyDescent="0.25">
      <c r="A72" s="52" t="s">
        <v>238</v>
      </c>
      <c r="B72" s="20" t="s">
        <v>59</v>
      </c>
      <c r="G72" s="35" t="s">
        <v>140</v>
      </c>
    </row>
    <row r="73" spans="1:7" ht="39.950000000000003" customHeight="1" x14ac:dyDescent="0.25">
      <c r="A73" s="52" t="s">
        <v>239</v>
      </c>
      <c r="B73" s="20" t="s">
        <v>60</v>
      </c>
      <c r="G73" s="35" t="s">
        <v>141</v>
      </c>
    </row>
    <row r="74" spans="1:7" ht="39.950000000000003" customHeight="1" x14ac:dyDescent="0.25">
      <c r="A74" s="52" t="s">
        <v>240</v>
      </c>
      <c r="B74" s="20" t="s">
        <v>61</v>
      </c>
      <c r="G74" s="35" t="s">
        <v>142</v>
      </c>
    </row>
    <row r="75" spans="1:7" ht="39.950000000000003" customHeight="1" x14ac:dyDescent="0.25">
      <c r="A75" s="52" t="s">
        <v>241</v>
      </c>
      <c r="B75" s="20" t="s">
        <v>340</v>
      </c>
      <c r="G75" s="35" t="s">
        <v>144</v>
      </c>
    </row>
    <row r="76" spans="1:7" ht="39.950000000000003" customHeight="1" x14ac:dyDescent="0.25">
      <c r="A76" s="52" t="s">
        <v>242</v>
      </c>
      <c r="B76" s="20" t="s">
        <v>62</v>
      </c>
      <c r="G76" s="35" t="s">
        <v>145</v>
      </c>
    </row>
    <row r="77" spans="1:7" ht="39.950000000000003" customHeight="1" x14ac:dyDescent="0.25">
      <c r="A77" s="52" t="s">
        <v>311</v>
      </c>
      <c r="B77" s="20" t="s">
        <v>63</v>
      </c>
      <c r="G77" s="36" t="s">
        <v>143</v>
      </c>
    </row>
    <row r="78" spans="1:7" ht="39.950000000000003" customHeight="1" x14ac:dyDescent="0.25">
      <c r="A78" s="52" t="s">
        <v>312</v>
      </c>
      <c r="B78" s="20" t="s">
        <v>64</v>
      </c>
      <c r="G78" s="36" t="s">
        <v>323</v>
      </c>
    </row>
    <row r="79" spans="1:7" ht="39.950000000000003" customHeight="1" x14ac:dyDescent="0.25">
      <c r="A79" s="52" t="s">
        <v>313</v>
      </c>
      <c r="B79" s="20" t="s">
        <v>65</v>
      </c>
    </row>
    <row r="80" spans="1:7" ht="39.950000000000003" customHeight="1" x14ac:dyDescent="0.25">
      <c r="A80" s="52" t="s">
        <v>314</v>
      </c>
      <c r="B80" s="20" t="s">
        <v>180</v>
      </c>
    </row>
    <row r="81" spans="1:2" ht="39.950000000000003" customHeight="1" x14ac:dyDescent="0.25">
      <c r="A81" s="52" t="s">
        <v>355</v>
      </c>
      <c r="B81" s="20" t="s">
        <v>181</v>
      </c>
    </row>
    <row r="82" spans="1:2" ht="39.950000000000003" customHeight="1" x14ac:dyDescent="0.25">
      <c r="A82" s="52" t="s">
        <v>356</v>
      </c>
      <c r="B82" s="20" t="s">
        <v>66</v>
      </c>
    </row>
    <row r="83" spans="1:2" ht="39.950000000000003" customHeight="1" x14ac:dyDescent="0.25">
      <c r="A83" s="52" t="s">
        <v>357</v>
      </c>
      <c r="B83" s="20" t="s">
        <v>67</v>
      </c>
    </row>
    <row r="84" spans="1:2" ht="39.950000000000003" customHeight="1" x14ac:dyDescent="0.25">
      <c r="A84" s="52" t="s">
        <v>358</v>
      </c>
      <c r="B84" s="20" t="s">
        <v>68</v>
      </c>
    </row>
    <row r="85" spans="1:2" ht="39.950000000000003" customHeight="1" x14ac:dyDescent="0.25">
      <c r="A85" s="52" t="s">
        <v>359</v>
      </c>
      <c r="B85" s="20" t="s">
        <v>69</v>
      </c>
    </row>
    <row r="86" spans="1:2" ht="39.950000000000003" customHeight="1" x14ac:dyDescent="0.25">
      <c r="A86" s="52" t="s">
        <v>362</v>
      </c>
      <c r="B86" s="20">
        <v>0</v>
      </c>
    </row>
    <row r="87" spans="1:2" ht="39.950000000000003" customHeight="1" x14ac:dyDescent="0.25">
      <c r="A87" s="19" t="s">
        <v>245</v>
      </c>
      <c r="B87" s="20" t="s">
        <v>161</v>
      </c>
    </row>
    <row r="88" spans="1:2" ht="39.950000000000003" customHeight="1" x14ac:dyDescent="0.25">
      <c r="A88" s="19" t="s">
        <v>246</v>
      </c>
      <c r="B88" s="20" t="s">
        <v>162</v>
      </c>
    </row>
    <row r="89" spans="1:2" ht="39.950000000000003" customHeight="1" x14ac:dyDescent="0.25">
      <c r="A89" s="19" t="s">
        <v>247</v>
      </c>
      <c r="B89" s="20" t="s">
        <v>163</v>
      </c>
    </row>
    <row r="90" spans="1:2" ht="39.950000000000003" customHeight="1" x14ac:dyDescent="0.25">
      <c r="A90" s="19" t="s">
        <v>248</v>
      </c>
      <c r="B90" s="20" t="s">
        <v>164</v>
      </c>
    </row>
    <row r="91" spans="1:2" ht="39.950000000000003" customHeight="1" x14ac:dyDescent="0.25">
      <c r="A91" s="21" t="s">
        <v>249</v>
      </c>
      <c r="B91" s="20" t="s">
        <v>165</v>
      </c>
    </row>
    <row r="92" spans="1:2" ht="39.950000000000003" customHeight="1" x14ac:dyDescent="0.25">
      <c r="A92" s="19" t="s">
        <v>250</v>
      </c>
      <c r="B92" s="20" t="s">
        <v>166</v>
      </c>
    </row>
    <row r="93" spans="1:2" ht="39.950000000000003" customHeight="1" x14ac:dyDescent="0.25">
      <c r="A93" s="19" t="s">
        <v>251</v>
      </c>
      <c r="B93" s="20" t="s">
        <v>167</v>
      </c>
    </row>
    <row r="94" spans="1:2" ht="39.950000000000003" customHeight="1" x14ac:dyDescent="0.25">
      <c r="A94" s="19" t="s">
        <v>252</v>
      </c>
      <c r="B94" s="20" t="s">
        <v>168</v>
      </c>
    </row>
    <row r="95" spans="1:2" ht="39.950000000000003" customHeight="1" x14ac:dyDescent="0.25">
      <c r="A95" s="19" t="s">
        <v>253</v>
      </c>
      <c r="B95" s="20" t="s">
        <v>169</v>
      </c>
    </row>
    <row r="96" spans="1:2" ht="39.950000000000003" customHeight="1" x14ac:dyDescent="0.25">
      <c r="A96" s="19" t="s">
        <v>254</v>
      </c>
      <c r="B96" s="20" t="s">
        <v>170</v>
      </c>
    </row>
    <row r="97" spans="1:2" ht="39.950000000000003" customHeight="1" x14ac:dyDescent="0.25">
      <c r="A97" s="19" t="s">
        <v>255</v>
      </c>
      <c r="B97" s="20" t="s">
        <v>171</v>
      </c>
    </row>
    <row r="98" spans="1:2" ht="39.950000000000003" customHeight="1" x14ac:dyDescent="0.25">
      <c r="A98" s="19" t="s">
        <v>256</v>
      </c>
      <c r="B98" s="20" t="s">
        <v>172</v>
      </c>
    </row>
    <row r="99" spans="1:2" ht="39.950000000000003" customHeight="1" x14ac:dyDescent="0.25">
      <c r="A99" s="19" t="s">
        <v>257</v>
      </c>
      <c r="B99" s="20">
        <v>0</v>
      </c>
    </row>
    <row r="100" spans="1:2" ht="39.950000000000003" customHeight="1" x14ac:dyDescent="0.25">
      <c r="A100" s="19" t="s">
        <v>259</v>
      </c>
      <c r="B100" s="20" t="s">
        <v>343</v>
      </c>
    </row>
    <row r="101" spans="1:2" ht="39.950000000000003" customHeight="1" x14ac:dyDescent="0.25">
      <c r="A101" s="19" t="s">
        <v>260</v>
      </c>
      <c r="B101" s="20" t="s">
        <v>74</v>
      </c>
    </row>
    <row r="102" spans="1:2" ht="39.950000000000003" customHeight="1" x14ac:dyDescent="0.25">
      <c r="A102" s="19" t="s">
        <v>261</v>
      </c>
      <c r="B102" s="20" t="s">
        <v>75</v>
      </c>
    </row>
    <row r="103" spans="1:2" ht="39.950000000000003" customHeight="1" x14ac:dyDescent="0.25">
      <c r="A103" s="19" t="s">
        <v>262</v>
      </c>
      <c r="B103" s="20" t="s">
        <v>76</v>
      </c>
    </row>
    <row r="104" spans="1:2" ht="39.950000000000003" customHeight="1" x14ac:dyDescent="0.25">
      <c r="A104" s="19" t="s">
        <v>263</v>
      </c>
      <c r="B104" s="20" t="s">
        <v>77</v>
      </c>
    </row>
    <row r="105" spans="1:2" ht="39.950000000000003" customHeight="1" x14ac:dyDescent="0.25">
      <c r="A105" s="19" t="s">
        <v>264</v>
      </c>
      <c r="B105" s="20" t="s">
        <v>78</v>
      </c>
    </row>
    <row r="106" spans="1:2" ht="39.950000000000003" customHeight="1" x14ac:dyDescent="0.25">
      <c r="A106" s="19" t="s">
        <v>265</v>
      </c>
      <c r="B106" s="20" t="s">
        <v>79</v>
      </c>
    </row>
    <row r="107" spans="1:2" ht="39.950000000000003" customHeight="1" x14ac:dyDescent="0.25">
      <c r="A107" s="19" t="s">
        <v>266</v>
      </c>
      <c r="B107" s="20" t="s">
        <v>80</v>
      </c>
    </row>
    <row r="108" spans="1:2" ht="39.950000000000003" customHeight="1" x14ac:dyDescent="0.25">
      <c r="A108" s="19" t="s">
        <v>267</v>
      </c>
      <c r="B108" s="20" t="s">
        <v>81</v>
      </c>
    </row>
    <row r="109" spans="1:2" ht="39.950000000000003" customHeight="1" x14ac:dyDescent="0.25">
      <c r="A109" s="19" t="s">
        <v>268</v>
      </c>
      <c r="B109" s="20" t="s">
        <v>82</v>
      </c>
    </row>
    <row r="110" spans="1:2" ht="39.950000000000003" customHeight="1" x14ac:dyDescent="0.25">
      <c r="A110" s="19" t="s">
        <v>269</v>
      </c>
      <c r="B110" s="20" t="s">
        <v>83</v>
      </c>
    </row>
    <row r="111" spans="1:2" ht="39.950000000000003" customHeight="1" x14ac:dyDescent="0.25">
      <c r="A111" s="19" t="s">
        <v>270</v>
      </c>
      <c r="B111" s="20" t="s">
        <v>183</v>
      </c>
    </row>
    <row r="112" spans="1:2" ht="39.950000000000003" customHeight="1" x14ac:dyDescent="0.25">
      <c r="A112" s="19" t="s">
        <v>302</v>
      </c>
      <c r="B112" s="20" t="s">
        <v>344</v>
      </c>
    </row>
    <row r="113" spans="1:2" ht="39.950000000000003" customHeight="1" x14ac:dyDescent="0.25">
      <c r="A113" s="19" t="s">
        <v>345</v>
      </c>
      <c r="B113" s="20" t="s">
        <v>346</v>
      </c>
    </row>
    <row r="114" spans="1:2" ht="39.950000000000003" customHeight="1" x14ac:dyDescent="0.25">
      <c r="A114" s="19" t="s">
        <v>347</v>
      </c>
      <c r="B114" s="20">
        <v>0</v>
      </c>
    </row>
    <row r="115" spans="1:2" ht="39.950000000000003" customHeight="1" x14ac:dyDescent="0.25">
      <c r="A115" s="19" t="s">
        <v>271</v>
      </c>
      <c r="B115" s="20" t="s">
        <v>84</v>
      </c>
    </row>
    <row r="116" spans="1:2" ht="39.950000000000003" customHeight="1" x14ac:dyDescent="0.25">
      <c r="A116" s="19" t="s">
        <v>272</v>
      </c>
      <c r="B116" s="20" t="s">
        <v>85</v>
      </c>
    </row>
    <row r="117" spans="1:2" ht="39.950000000000003" customHeight="1" x14ac:dyDescent="0.25">
      <c r="A117" s="19" t="s">
        <v>273</v>
      </c>
      <c r="B117" s="20" t="s">
        <v>86</v>
      </c>
    </row>
    <row r="118" spans="1:2" ht="39.950000000000003" customHeight="1" x14ac:dyDescent="0.25">
      <c r="A118" s="19" t="s">
        <v>274</v>
      </c>
      <c r="B118" s="20" t="s">
        <v>87</v>
      </c>
    </row>
    <row r="119" spans="1:2" ht="39.950000000000003" customHeight="1" x14ac:dyDescent="0.25">
      <c r="A119" s="19" t="s">
        <v>275</v>
      </c>
      <c r="B119" s="20" t="s">
        <v>88</v>
      </c>
    </row>
    <row r="120" spans="1:2" ht="39.950000000000003" customHeight="1" x14ac:dyDescent="0.25">
      <c r="A120" s="19" t="s">
        <v>276</v>
      </c>
      <c r="B120" s="20" t="s">
        <v>89</v>
      </c>
    </row>
    <row r="121" spans="1:2" ht="39.950000000000003" customHeight="1" x14ac:dyDescent="0.25">
      <c r="A121" s="19" t="s">
        <v>277</v>
      </c>
      <c r="B121" s="20" t="s">
        <v>90</v>
      </c>
    </row>
    <row r="122" spans="1:2" ht="39.950000000000003" customHeight="1" x14ac:dyDescent="0.25">
      <c r="A122" s="19" t="s">
        <v>278</v>
      </c>
      <c r="B122" s="20" t="s">
        <v>91</v>
      </c>
    </row>
    <row r="123" spans="1:2" ht="39.950000000000003" customHeight="1" x14ac:dyDescent="0.25">
      <c r="A123" s="19" t="s">
        <v>279</v>
      </c>
      <c r="B123" s="20" t="s">
        <v>92</v>
      </c>
    </row>
    <row r="124" spans="1:2" ht="39.950000000000003" customHeight="1" x14ac:dyDescent="0.25">
      <c r="A124" s="19" t="s">
        <v>280</v>
      </c>
      <c r="B124" s="20" t="s">
        <v>93</v>
      </c>
    </row>
    <row r="125" spans="1:2" ht="39.950000000000003" customHeight="1" x14ac:dyDescent="0.25">
      <c r="A125" s="19" t="s">
        <v>281</v>
      </c>
      <c r="B125" s="20" t="s">
        <v>31</v>
      </c>
    </row>
    <row r="126" spans="1:2" ht="39.950000000000003" customHeight="1" x14ac:dyDescent="0.25">
      <c r="A126" s="19" t="s">
        <v>282</v>
      </c>
      <c r="B126" s="20" t="s">
        <v>94</v>
      </c>
    </row>
    <row r="127" spans="1:2" ht="39.950000000000003" customHeight="1" x14ac:dyDescent="0.25">
      <c r="A127" s="19" t="s">
        <v>303</v>
      </c>
      <c r="B127" s="20">
        <v>0</v>
      </c>
    </row>
    <row r="128" spans="1:2" ht="39.950000000000003" customHeight="1" x14ac:dyDescent="0.25">
      <c r="A128" s="19" t="s">
        <v>284</v>
      </c>
      <c r="B128" s="20" t="s">
        <v>95</v>
      </c>
    </row>
    <row r="129" spans="1:10" ht="39.950000000000003" customHeight="1" x14ac:dyDescent="0.25">
      <c r="A129" s="19" t="s">
        <v>285</v>
      </c>
      <c r="B129" s="20" t="s">
        <v>96</v>
      </c>
    </row>
    <row r="130" spans="1:10" ht="39.950000000000003" customHeight="1" x14ac:dyDescent="0.25">
      <c r="A130" s="19" t="s">
        <v>286</v>
      </c>
      <c r="B130" s="20" t="s">
        <v>97</v>
      </c>
    </row>
    <row r="131" spans="1:10" ht="39.950000000000003" customHeight="1" x14ac:dyDescent="0.25">
      <c r="A131" s="19" t="s">
        <v>287</v>
      </c>
      <c r="B131" s="20" t="s">
        <v>30</v>
      </c>
    </row>
    <row r="132" spans="1:10" ht="39.950000000000003" customHeight="1" x14ac:dyDescent="0.25">
      <c r="A132" s="19" t="s">
        <v>288</v>
      </c>
      <c r="B132" s="20" t="s">
        <v>98</v>
      </c>
    </row>
    <row r="133" spans="1:10" ht="39.950000000000003" customHeight="1" x14ac:dyDescent="0.25">
      <c r="A133" s="19" t="s">
        <v>289</v>
      </c>
      <c r="B133" s="20" t="s">
        <v>99</v>
      </c>
    </row>
    <row r="134" spans="1:10" ht="39.950000000000003" customHeight="1" x14ac:dyDescent="0.25">
      <c r="A134" s="19" t="s">
        <v>290</v>
      </c>
      <c r="B134" s="20" t="s">
        <v>100</v>
      </c>
    </row>
    <row r="135" spans="1:10" ht="39.950000000000003" customHeight="1" x14ac:dyDescent="0.25">
      <c r="A135" s="19" t="s">
        <v>291</v>
      </c>
      <c r="B135" s="20" t="s">
        <v>90</v>
      </c>
    </row>
    <row r="136" spans="1:10" ht="39.950000000000003" customHeight="1" x14ac:dyDescent="0.25">
      <c r="A136" s="19" t="s">
        <v>292</v>
      </c>
      <c r="B136" s="20" t="s">
        <v>78</v>
      </c>
      <c r="I136" s="33"/>
      <c r="J136" s="33"/>
    </row>
    <row r="137" spans="1:10" ht="39.950000000000003" customHeight="1" x14ac:dyDescent="0.25">
      <c r="A137" s="19" t="s">
        <v>293</v>
      </c>
      <c r="B137" s="20" t="s">
        <v>101</v>
      </c>
      <c r="I137" s="33"/>
      <c r="J137" s="33"/>
    </row>
    <row r="138" spans="1:10" ht="39.950000000000003" customHeight="1" x14ac:dyDescent="0.25">
      <c r="A138" s="19" t="s">
        <v>341</v>
      </c>
      <c r="B138" s="20">
        <v>0</v>
      </c>
      <c r="I138" s="33"/>
      <c r="J138" s="33"/>
    </row>
    <row r="139" spans="1:10" ht="39.950000000000003" customHeight="1" x14ac:dyDescent="0.25">
      <c r="A139" s="19" t="s">
        <v>295</v>
      </c>
      <c r="B139" s="20" t="s">
        <v>102</v>
      </c>
      <c r="I139" s="33"/>
      <c r="J139" s="33"/>
    </row>
    <row r="140" spans="1:10" ht="39.950000000000003" customHeight="1" x14ac:dyDescent="0.25">
      <c r="A140" s="19" t="s">
        <v>296</v>
      </c>
      <c r="B140" s="20" t="s">
        <v>103</v>
      </c>
      <c r="I140" s="33"/>
      <c r="J140" s="33"/>
    </row>
    <row r="141" spans="1:10" ht="39.950000000000003" customHeight="1" x14ac:dyDescent="0.25">
      <c r="A141" s="19" t="s">
        <v>297</v>
      </c>
      <c r="B141" s="20" t="s">
        <v>104</v>
      </c>
      <c r="I141" s="33"/>
      <c r="J141" s="33"/>
    </row>
    <row r="142" spans="1:10" ht="39.950000000000003" customHeight="1" x14ac:dyDescent="0.25">
      <c r="A142" s="19" t="s">
        <v>298</v>
      </c>
      <c r="B142" s="20" t="s">
        <v>78</v>
      </c>
      <c r="I142" s="33"/>
      <c r="J142" s="33"/>
    </row>
    <row r="143" spans="1:10" ht="39.950000000000003" customHeight="1" x14ac:dyDescent="0.25">
      <c r="A143" s="19" t="s">
        <v>299</v>
      </c>
      <c r="B143" s="20" t="s">
        <v>105</v>
      </c>
      <c r="I143" s="33"/>
      <c r="J143" s="33"/>
    </row>
    <row r="144" spans="1:10" ht="39.950000000000003" customHeight="1" x14ac:dyDescent="0.25">
      <c r="A144" s="19" t="s">
        <v>300</v>
      </c>
      <c r="B144" s="20" t="s">
        <v>99</v>
      </c>
      <c r="I144" s="33"/>
      <c r="J144" s="33"/>
    </row>
    <row r="145" spans="1:10" ht="39.950000000000003" customHeight="1" x14ac:dyDescent="0.25">
      <c r="A145" s="19" t="s">
        <v>342</v>
      </c>
      <c r="B145" s="20">
        <v>0</v>
      </c>
      <c r="I145" s="33"/>
      <c r="J145" s="33"/>
    </row>
    <row r="146" spans="1:10" ht="39.950000000000003" customHeight="1" x14ac:dyDescent="0.25">
      <c r="A146" s="22" t="s">
        <v>146</v>
      </c>
      <c r="B146" s="2" t="s">
        <v>112</v>
      </c>
      <c r="I146" s="33"/>
      <c r="J146" s="33"/>
    </row>
    <row r="147" spans="1:10" ht="39.950000000000003" customHeight="1" x14ac:dyDescent="0.25">
      <c r="A147" s="22" t="s">
        <v>147</v>
      </c>
      <c r="B147" s="2" t="s">
        <v>113</v>
      </c>
      <c r="I147" s="33"/>
      <c r="J147" s="33"/>
    </row>
    <row r="148" spans="1:10" ht="39.950000000000003" customHeight="1" x14ac:dyDescent="0.25">
      <c r="A148" s="22" t="s">
        <v>148</v>
      </c>
      <c r="B148" s="2" t="s">
        <v>114</v>
      </c>
      <c r="I148" s="33"/>
      <c r="J148" s="33"/>
    </row>
    <row r="149" spans="1:10" ht="39.950000000000003" customHeight="1" x14ac:dyDescent="0.25">
      <c r="A149" s="22" t="s">
        <v>149</v>
      </c>
      <c r="B149" s="2" t="s">
        <v>115</v>
      </c>
      <c r="I149" s="33"/>
      <c r="J149" s="33"/>
    </row>
    <row r="150" spans="1:10" ht="39.950000000000003" customHeight="1" x14ac:dyDescent="0.25">
      <c r="A150" s="22" t="s">
        <v>150</v>
      </c>
      <c r="B150" s="2" t="s">
        <v>116</v>
      </c>
      <c r="I150" s="33"/>
      <c r="J150" s="33"/>
    </row>
    <row r="151" spans="1:10" ht="39.950000000000003" customHeight="1" x14ac:dyDescent="0.25">
      <c r="A151" s="22" t="s">
        <v>151</v>
      </c>
      <c r="B151" s="2" t="s">
        <v>117</v>
      </c>
      <c r="I151" s="33"/>
      <c r="J151" s="33"/>
    </row>
    <row r="152" spans="1:10" ht="39.950000000000003" customHeight="1" x14ac:dyDescent="0.25">
      <c r="A152" s="22" t="s">
        <v>152</v>
      </c>
      <c r="B152" s="2" t="s">
        <v>118</v>
      </c>
      <c r="I152" s="33"/>
      <c r="J152" s="33"/>
    </row>
    <row r="153" spans="1:10" ht="39.950000000000003" customHeight="1" x14ac:dyDescent="0.25">
      <c r="A153" s="22" t="s">
        <v>153</v>
      </c>
      <c r="B153" s="2" t="s">
        <v>126</v>
      </c>
      <c r="I153" s="33"/>
      <c r="J153" s="33"/>
    </row>
    <row r="154" spans="1:10" ht="39.950000000000003" customHeight="1" x14ac:dyDescent="0.25">
      <c r="A154" s="22" t="s">
        <v>154</v>
      </c>
      <c r="B154" s="2" t="s">
        <v>112</v>
      </c>
      <c r="I154" s="33"/>
      <c r="J154" s="33"/>
    </row>
    <row r="155" spans="1:10" ht="39.950000000000003" customHeight="1" x14ac:dyDescent="0.25">
      <c r="A155" s="22" t="s">
        <v>155</v>
      </c>
      <c r="B155" s="2" t="s">
        <v>119</v>
      </c>
      <c r="I155" s="33"/>
      <c r="J155" s="33"/>
    </row>
    <row r="156" spans="1:10" ht="39.950000000000003" customHeight="1" x14ac:dyDescent="0.25">
      <c r="A156" s="22" t="s">
        <v>156</v>
      </c>
      <c r="B156" s="2" t="s">
        <v>120</v>
      </c>
      <c r="I156" s="33"/>
      <c r="J156" s="33"/>
    </row>
    <row r="157" spans="1:10" ht="39.950000000000003" customHeight="1" x14ac:dyDescent="0.25">
      <c r="A157" s="22" t="s">
        <v>157</v>
      </c>
      <c r="B157" s="2" t="s">
        <v>121</v>
      </c>
      <c r="I157" s="33"/>
      <c r="J157" s="33"/>
    </row>
    <row r="158" spans="1:10" ht="39.950000000000003" customHeight="1" x14ac:dyDescent="0.25">
      <c r="A158" s="22" t="s">
        <v>158</v>
      </c>
      <c r="B158" s="2" t="s">
        <v>122</v>
      </c>
      <c r="I158" s="33"/>
      <c r="J158" s="33"/>
    </row>
    <row r="159" spans="1:10" ht="39.950000000000003" customHeight="1" x14ac:dyDescent="0.25">
      <c r="A159" s="22" t="s">
        <v>159</v>
      </c>
      <c r="B159" s="2" t="s">
        <v>123</v>
      </c>
      <c r="I159" s="33"/>
      <c r="J159" s="33"/>
    </row>
    <row r="160" spans="1:10" ht="39.950000000000003" customHeight="1" x14ac:dyDescent="0.25">
      <c r="A160" s="22" t="s">
        <v>160</v>
      </c>
      <c r="B160" s="2" t="s">
        <v>124</v>
      </c>
      <c r="I160" s="33"/>
      <c r="J160" s="33"/>
    </row>
    <row r="161" spans="1:10" ht="39.950000000000003" customHeight="1" x14ac:dyDescent="0.25">
      <c r="A161" s="22"/>
      <c r="B161" s="2"/>
      <c r="I161" s="33"/>
      <c r="J161" s="33"/>
    </row>
    <row r="162" spans="1:10" ht="39.950000000000003" customHeight="1" x14ac:dyDescent="0.25">
      <c r="A162" s="22"/>
      <c r="B162" s="2"/>
      <c r="G162" s="33"/>
    </row>
    <row r="163" spans="1:10" ht="39.950000000000003" customHeight="1" x14ac:dyDescent="0.25">
      <c r="A163" s="22"/>
      <c r="B163" s="2"/>
    </row>
    <row r="164" spans="1:10" ht="39.950000000000003" customHeight="1" x14ac:dyDescent="0.25">
      <c r="B164" s="34"/>
    </row>
    <row r="165" spans="1:10" ht="39.950000000000003" customHeight="1" x14ac:dyDescent="0.25">
      <c r="B165" s="34"/>
    </row>
    <row r="166" spans="1:10" ht="39.950000000000003" customHeight="1" x14ac:dyDescent="0.25">
      <c r="B166" s="34"/>
    </row>
    <row r="167" spans="1:10" ht="39.950000000000003" customHeight="1" x14ac:dyDescent="0.25">
      <c r="B167" s="34"/>
    </row>
    <row r="168" spans="1:10" ht="39.950000000000003" customHeight="1" x14ac:dyDescent="0.25">
      <c r="B168" s="34"/>
    </row>
    <row r="169" spans="1:10" ht="39.950000000000003" customHeight="1" x14ac:dyDescent="0.25">
      <c r="B169" s="34"/>
    </row>
    <row r="170" spans="1:10" ht="39.950000000000003" customHeight="1" x14ac:dyDescent="0.25">
      <c r="B170" s="34"/>
    </row>
    <row r="171" spans="1:10" ht="39.950000000000003" customHeight="1" x14ac:dyDescent="0.25">
      <c r="B171" s="34"/>
    </row>
    <row r="172" spans="1:10" ht="39.950000000000003" customHeight="1" x14ac:dyDescent="0.25">
      <c r="B172" s="34"/>
    </row>
    <row r="173" spans="1:10" ht="39.950000000000003" customHeight="1" x14ac:dyDescent="0.25">
      <c r="B173" s="34"/>
    </row>
    <row r="174" spans="1:10" ht="39.950000000000003" customHeight="1" x14ac:dyDescent="0.25">
      <c r="B174" s="34"/>
    </row>
    <row r="175" spans="1:10" ht="39.950000000000003" customHeight="1" x14ac:dyDescent="0.25">
      <c r="B175" s="34"/>
    </row>
    <row r="176" spans="1:10" ht="39.950000000000003" customHeight="1" x14ac:dyDescent="0.25">
      <c r="B176" s="34"/>
    </row>
    <row r="177" spans="2:2" ht="39.950000000000003" customHeight="1" x14ac:dyDescent="0.25">
      <c r="B177" s="34"/>
    </row>
    <row r="178" spans="2:2" ht="39.950000000000003" customHeight="1" x14ac:dyDescent="0.25">
      <c r="B178" s="34"/>
    </row>
    <row r="179" spans="2:2" ht="39.950000000000003" customHeight="1" x14ac:dyDescent="0.25">
      <c r="B179" s="34"/>
    </row>
    <row r="180" spans="2:2" ht="39.950000000000003" customHeight="1" x14ac:dyDescent="0.25">
      <c r="B180" s="34"/>
    </row>
    <row r="181" spans="2:2" ht="39.950000000000003" customHeight="1" x14ac:dyDescent="0.25">
      <c r="B181" s="34"/>
    </row>
    <row r="182" spans="2:2" ht="39.950000000000003" customHeight="1" x14ac:dyDescent="0.25">
      <c r="B182" s="34"/>
    </row>
    <row r="183" spans="2:2" ht="39.950000000000003" customHeight="1" x14ac:dyDescent="0.25">
      <c r="B183" s="34"/>
    </row>
    <row r="184" spans="2:2" ht="39.950000000000003" customHeight="1" x14ac:dyDescent="0.25">
      <c r="B184" s="34"/>
    </row>
    <row r="185" spans="2:2" ht="39.950000000000003" customHeight="1" x14ac:dyDescent="0.25">
      <c r="B185" s="34"/>
    </row>
    <row r="186" spans="2:2" ht="39.950000000000003" customHeight="1" x14ac:dyDescent="0.25">
      <c r="B186" s="34"/>
    </row>
    <row r="187" spans="2:2" ht="39.950000000000003" customHeight="1" x14ac:dyDescent="0.25">
      <c r="B187" s="34"/>
    </row>
    <row r="188" spans="2:2" ht="39.950000000000003" customHeight="1" x14ac:dyDescent="0.25">
      <c r="B188" s="34"/>
    </row>
    <row r="189" spans="2:2" ht="39.950000000000003" customHeight="1" x14ac:dyDescent="0.25">
      <c r="B189" s="34"/>
    </row>
    <row r="190" spans="2:2" ht="39.950000000000003" customHeight="1" x14ac:dyDescent="0.25">
      <c r="B190" s="34"/>
    </row>
    <row r="191" spans="2:2" ht="39.950000000000003" customHeight="1" x14ac:dyDescent="0.25">
      <c r="B191" s="34"/>
    </row>
    <row r="192" spans="2:2" ht="39.950000000000003" customHeight="1" x14ac:dyDescent="0.25">
      <c r="B192" s="34"/>
    </row>
    <row r="193" spans="2:2" ht="39.950000000000003" customHeight="1" x14ac:dyDescent="0.25">
      <c r="B193" s="34"/>
    </row>
    <row r="194" spans="2:2" ht="39.950000000000003" customHeight="1" x14ac:dyDescent="0.25">
      <c r="B194" s="34"/>
    </row>
    <row r="195" spans="2:2" ht="39.950000000000003" customHeight="1" x14ac:dyDescent="0.25">
      <c r="B195" s="34"/>
    </row>
    <row r="196" spans="2:2" ht="39.950000000000003" customHeight="1" x14ac:dyDescent="0.25">
      <c r="B196" s="34"/>
    </row>
    <row r="197" spans="2:2" ht="39.950000000000003" customHeight="1" x14ac:dyDescent="0.25">
      <c r="B197" s="34"/>
    </row>
    <row r="198" spans="2:2" ht="39.950000000000003" customHeight="1" x14ac:dyDescent="0.25">
      <c r="B198" s="34"/>
    </row>
    <row r="199" spans="2:2" ht="39.950000000000003" customHeight="1" x14ac:dyDescent="0.25">
      <c r="B199" s="34"/>
    </row>
    <row r="200" spans="2:2" ht="39.950000000000003" customHeight="1" x14ac:dyDescent="0.25">
      <c r="B200" s="34"/>
    </row>
    <row r="201" spans="2:2" ht="39.950000000000003" customHeight="1" x14ac:dyDescent="0.25">
      <c r="B201" s="34"/>
    </row>
    <row r="202" spans="2:2" ht="39.950000000000003" customHeight="1" x14ac:dyDescent="0.25">
      <c r="B202" s="34"/>
    </row>
    <row r="203" spans="2:2" ht="39.950000000000003" customHeight="1" x14ac:dyDescent="0.25">
      <c r="B203" s="34"/>
    </row>
    <row r="204" spans="2:2" ht="39.950000000000003" customHeight="1" x14ac:dyDescent="0.25">
      <c r="B204" s="34"/>
    </row>
    <row r="205" spans="2:2" ht="39.950000000000003" customHeight="1" x14ac:dyDescent="0.25">
      <c r="B205" s="34"/>
    </row>
  </sheetData>
  <phoneticPr fontId="9" type="noConversion"/>
  <conditionalFormatting sqref="A13:B17 B18">
    <cfRule type="containsText" dxfId="352" priority="1" operator="containsText" text="FALTANTE">
      <formula>NOT(ISERROR(SEARCH("FALTANTE",A13)))</formula>
    </cfRule>
    <cfRule type="containsText" dxfId="351" priority="2" operator="containsText" text="EN MODIFICACIÓN">
      <formula>NOT(ISERROR(SEARCH("EN MODIFICACIÓN",A13)))</formula>
    </cfRule>
    <cfRule type="containsText" dxfId="350" priority="3" operator="containsText" text="EN REVISIÓN">
      <formula>NOT(ISERROR(SEARCH("EN REVISIÓN",A13)))</formula>
    </cfRule>
    <cfRule type="containsText" dxfId="349" priority="8" operator="containsText" text="INCOMPLETO">
      <formula>NOT(ISERROR(SEARCH("INCOMPLETO",#REF!)))</formula>
    </cfRule>
  </conditionalFormatting>
  <printOptions horizontalCentered="1"/>
  <pageMargins left="0.65" right="0.65" top="1.25" bottom="0.25" header="0.3" footer="0.25"/>
  <pageSetup scale="39" orientation="portrait" horizontalDpi="360" verticalDpi="360" r:id="rId1"/>
  <headerFooter>
    <oddHeader>&amp;L&amp;G&amp;C&amp;"Century Gothic,Bold"&amp;20
Proceso: Gestión de Arquitectura y Control de Planos&amp;"Century Gothic,Regular"
Listado de chequeo para Pliego de Condiciones
 y  Necesidades del Cliente&amp;R
&amp;G</oddHeader>
    <oddFooter>&amp;L&amp;"Century Gothic,Regular"&amp;14Este documento es confidencial&amp;C&amp;"Century Gothic,Regular"&amp;14GA-FO-01 (10.2021) V.00&amp;R&amp;"Century Gothic,Regular"&amp;14Página &amp;P de&amp;N</oddFooter>
  </headerFooter>
  <rowBreaks count="1" manualBreakCount="1">
    <brk id="201" min="1" max="13" man="1"/>
  </rowBreaks>
  <legacyDrawingHF r:id="rId2"/>
  <tableParts count="1">
    <tablePart r:id="rId3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Sheet1">
    <tabColor rgb="FFC00000"/>
  </sheetPr>
  <dimension ref="A1:K231"/>
  <sheetViews>
    <sheetView tabSelected="1" view="pageLayout" topLeftCell="A13" zoomScale="55" zoomScaleNormal="30" zoomScaleSheetLayoutView="30" zoomScalePageLayoutView="55" workbookViewId="0">
      <selection activeCell="F5" sqref="F5"/>
    </sheetView>
  </sheetViews>
  <sheetFormatPr baseColWidth="10" defaultColWidth="9.28515625" defaultRowHeight="39.950000000000003" customHeight="1" x14ac:dyDescent="0.25"/>
  <cols>
    <col min="1" max="1" width="10" style="32" customWidth="1"/>
    <col min="2" max="2" width="70.7109375" style="32" customWidth="1"/>
    <col min="3" max="3" width="47.7109375" style="32" customWidth="1"/>
    <col min="4" max="4" width="29.7109375" style="32" customWidth="1"/>
    <col min="5" max="5" width="40.5703125" style="32" customWidth="1"/>
    <col min="6" max="6" width="60.85546875" style="32" customWidth="1"/>
    <col min="7" max="7" width="66.7109375" style="32" hidden="1" customWidth="1"/>
    <col min="8" max="8" width="27.28515625" style="32" hidden="1" customWidth="1"/>
    <col min="9" max="16384" width="9.28515625" style="32"/>
  </cols>
  <sheetData>
    <row r="1" spans="1:11" ht="39.950000000000003" customHeight="1" x14ac:dyDescent="0.25">
      <c r="A1" s="58" t="s">
        <v>12</v>
      </c>
      <c r="B1" s="59"/>
      <c r="C1" s="59"/>
      <c r="D1" s="59"/>
      <c r="E1" s="59"/>
      <c r="F1" s="60"/>
      <c r="G1" s="37"/>
      <c r="H1" s="37"/>
      <c r="I1" s="37"/>
      <c r="J1" s="37"/>
      <c r="K1" s="37"/>
    </row>
    <row r="2" spans="1:11" ht="39.950000000000003" customHeight="1" x14ac:dyDescent="0.25">
      <c r="A2" s="68" t="s">
        <v>0</v>
      </c>
      <c r="B2" s="69"/>
      <c r="C2" s="18" t="s">
        <v>366</v>
      </c>
      <c r="D2" s="67" t="s">
        <v>32</v>
      </c>
      <c r="E2" s="67"/>
      <c r="F2" s="43" t="s">
        <v>367</v>
      </c>
    </row>
    <row r="3" spans="1:11" ht="39.950000000000003" customHeight="1" x14ac:dyDescent="0.25">
      <c r="A3" s="68" t="s">
        <v>325</v>
      </c>
      <c r="B3" s="69"/>
      <c r="C3" s="3" t="s">
        <v>369</v>
      </c>
      <c r="D3" s="67" t="s">
        <v>326</v>
      </c>
      <c r="E3" s="67"/>
      <c r="F3" s="53" t="s">
        <v>368</v>
      </c>
    </row>
    <row r="4" spans="1:11" ht="39.950000000000003" customHeight="1" x14ac:dyDescent="0.25">
      <c r="A4" s="68" t="s">
        <v>332</v>
      </c>
      <c r="B4" s="69"/>
      <c r="C4" s="3" t="s">
        <v>370</v>
      </c>
      <c r="D4" s="67" t="s">
        <v>331</v>
      </c>
      <c r="E4" s="67"/>
      <c r="F4" s="54" t="s">
        <v>375</v>
      </c>
    </row>
    <row r="5" spans="1:11" ht="39.950000000000003" customHeight="1" x14ac:dyDescent="0.25">
      <c r="A5" s="70" t="s">
        <v>322</v>
      </c>
      <c r="B5" s="71"/>
      <c r="C5" s="3" t="s">
        <v>371</v>
      </c>
      <c r="D5" s="67" t="s">
        <v>1</v>
      </c>
      <c r="E5" s="67"/>
      <c r="F5" s="43" t="s">
        <v>374</v>
      </c>
    </row>
    <row r="6" spans="1:11" ht="39.950000000000003" customHeight="1" x14ac:dyDescent="0.25">
      <c r="A6" s="68" t="s">
        <v>33</v>
      </c>
      <c r="B6" s="69"/>
      <c r="C6" s="56" t="s">
        <v>375</v>
      </c>
      <c r="D6" s="67" t="s">
        <v>34</v>
      </c>
      <c r="E6" s="67"/>
      <c r="F6" s="55" t="s">
        <v>375</v>
      </c>
    </row>
    <row r="7" spans="1:11" ht="39.950000000000003" customHeight="1" x14ac:dyDescent="0.25">
      <c r="A7" s="72" t="s">
        <v>321</v>
      </c>
      <c r="B7" s="73"/>
      <c r="C7" s="41" t="s">
        <v>372</v>
      </c>
      <c r="D7" s="67" t="s">
        <v>18</v>
      </c>
      <c r="E7" s="67"/>
      <c r="F7" s="44" t="s">
        <v>389</v>
      </c>
    </row>
    <row r="8" spans="1:11" ht="39.950000000000003" customHeight="1" x14ac:dyDescent="0.25">
      <c r="A8" s="74" t="s">
        <v>184</v>
      </c>
      <c r="B8" s="75"/>
      <c r="C8" s="75"/>
      <c r="D8" s="75"/>
      <c r="E8" s="75"/>
      <c r="F8" s="76"/>
      <c r="G8" s="39"/>
      <c r="H8" s="39"/>
      <c r="I8" s="39"/>
      <c r="J8" s="39"/>
      <c r="K8" s="39"/>
    </row>
    <row r="9" spans="1:11" ht="39.950000000000003" customHeight="1" x14ac:dyDescent="0.25">
      <c r="A9" s="45" t="s">
        <v>10</v>
      </c>
      <c r="B9" s="42" t="s">
        <v>7</v>
      </c>
      <c r="C9" s="19" t="s">
        <v>125</v>
      </c>
      <c r="D9" s="19" t="s">
        <v>328</v>
      </c>
      <c r="E9" s="19" t="s">
        <v>22</v>
      </c>
      <c r="F9" s="46" t="s">
        <v>329</v>
      </c>
      <c r="G9" s="39"/>
      <c r="H9" s="39"/>
      <c r="I9" s="39"/>
      <c r="J9" s="39"/>
      <c r="K9" s="39"/>
    </row>
    <row r="10" spans="1:11" ht="39.950000000000003" customHeight="1" x14ac:dyDescent="0.25">
      <c r="A10" s="47" t="s">
        <v>134</v>
      </c>
      <c r="B10" s="20" t="str">
        <f>+VLOOKUP(A10,'Base de datos'!$A$2:$B$163,2,FALSE)</f>
        <v>Carta de autorización y aprobación de planos</v>
      </c>
      <c r="C10" s="2" t="s">
        <v>111</v>
      </c>
      <c r="D10" s="31"/>
      <c r="E10" s="31"/>
      <c r="F10" s="48"/>
      <c r="G10" s="32">
        <v>4</v>
      </c>
      <c r="H10" s="39"/>
      <c r="I10" s="39"/>
      <c r="J10" s="39"/>
      <c r="K10" s="39"/>
    </row>
    <row r="11" spans="1:11" ht="39.950000000000003" customHeight="1" x14ac:dyDescent="0.25">
      <c r="A11" s="47" t="s">
        <v>135</v>
      </c>
      <c r="B11" s="20" t="str">
        <f>+VLOOKUP(A11,'Base de datos'!$A$2:$B$163,2,FALSE)</f>
        <v>Certificado de no objeción</v>
      </c>
      <c r="C11" s="2" t="s">
        <v>4</v>
      </c>
      <c r="D11" s="31"/>
      <c r="E11" s="31"/>
      <c r="F11" s="48"/>
      <c r="G11" s="32">
        <f>+G10+$H$34</f>
        <v>12</v>
      </c>
      <c r="H11" s="39"/>
      <c r="I11" s="39"/>
      <c r="J11" s="39"/>
      <c r="K11" s="39"/>
    </row>
    <row r="12" spans="1:11" ht="39.950000000000003" customHeight="1" x14ac:dyDescent="0.25">
      <c r="A12" s="47" t="s">
        <v>136</v>
      </c>
      <c r="B12" s="20" t="str">
        <f>+VLOOKUP(A12,'Base de datos'!$A$2:$B$163,2,FALSE)</f>
        <v>Certificado de no objeción</v>
      </c>
      <c r="C12" s="2" t="s">
        <v>3</v>
      </c>
      <c r="D12" s="31"/>
      <c r="E12" s="31"/>
      <c r="F12" s="48"/>
      <c r="G12" s="32">
        <f>+G11+$H$34</f>
        <v>20</v>
      </c>
      <c r="H12" s="39"/>
      <c r="I12" s="39"/>
      <c r="J12" s="39"/>
      <c r="K12" s="39"/>
    </row>
    <row r="13" spans="1:11" ht="39.950000000000003" customHeight="1" x14ac:dyDescent="0.25">
      <c r="A13" s="47" t="s">
        <v>137</v>
      </c>
      <c r="B13" s="20" t="str">
        <f>+VLOOKUP(A13,'Base de datos'!$A$2:$B$163,2,FALSE)</f>
        <v xml:space="preserve">Certificación de registro de impacto mínimo </v>
      </c>
      <c r="C13" s="2" t="s">
        <v>5</v>
      </c>
      <c r="D13" s="31"/>
      <c r="E13" s="31"/>
      <c r="F13" s="48"/>
      <c r="G13" s="32">
        <f>+G12+$H$34</f>
        <v>28</v>
      </c>
      <c r="H13" s="39"/>
      <c r="I13" s="39"/>
      <c r="J13" s="39"/>
      <c r="K13" s="39"/>
    </row>
    <row r="14" spans="1:11" ht="39.950000000000003" customHeight="1" x14ac:dyDescent="0.25">
      <c r="A14" s="47" t="s">
        <v>138</v>
      </c>
      <c r="B14" s="20" t="str">
        <f>+VLOOKUP(A14,'Base de datos'!$A$2:$B$163,2,FALSE)</f>
        <v>Licencia de construcción</v>
      </c>
      <c r="C14" s="2" t="s">
        <v>128</v>
      </c>
      <c r="D14" s="31"/>
      <c r="E14" s="31"/>
      <c r="F14" s="48"/>
      <c r="G14" s="32">
        <f>+G13+$H$34</f>
        <v>36</v>
      </c>
      <c r="H14" s="39"/>
      <c r="I14" s="39"/>
      <c r="J14" s="39"/>
      <c r="K14" s="39"/>
    </row>
    <row r="15" spans="1:11" ht="39.950000000000003" customHeight="1" x14ac:dyDescent="0.25">
      <c r="A15" s="47" t="s">
        <v>139</v>
      </c>
      <c r="B15" s="20" t="str">
        <f>+VLOOKUP(A15,'Base de datos'!$A$2:$B$163,2,FALSE)</f>
        <v>Certificación (gestión de costos Y presupuestos)</v>
      </c>
      <c r="C15" s="2" t="s">
        <v>6</v>
      </c>
      <c r="D15" s="31"/>
      <c r="E15" s="31"/>
      <c r="F15" s="48"/>
      <c r="G15" s="32">
        <f>+G14+$H$34</f>
        <v>44</v>
      </c>
      <c r="H15" s="39"/>
      <c r="I15" s="39"/>
      <c r="J15" s="39"/>
      <c r="K15" s="39"/>
    </row>
    <row r="16" spans="1:11" ht="39.950000000000003" customHeight="1" x14ac:dyDescent="0.25">
      <c r="A16" s="80" t="s">
        <v>127</v>
      </c>
      <c r="B16" s="81"/>
      <c r="C16" s="81"/>
      <c r="D16" s="81"/>
      <c r="E16" s="81"/>
      <c r="F16" s="82"/>
      <c r="G16" s="39"/>
      <c r="H16" s="39"/>
      <c r="I16" s="39"/>
      <c r="J16" s="39"/>
      <c r="K16" s="39"/>
    </row>
    <row r="17" spans="1:11" ht="39.950000000000003" customHeight="1" x14ac:dyDescent="0.25">
      <c r="A17" s="47" t="s">
        <v>10</v>
      </c>
      <c r="B17" s="19" t="s">
        <v>7</v>
      </c>
      <c r="C17" s="19" t="s">
        <v>125</v>
      </c>
      <c r="D17" s="19" t="s">
        <v>328</v>
      </c>
      <c r="E17" s="19" t="s">
        <v>22</v>
      </c>
      <c r="F17" s="46" t="s">
        <v>329</v>
      </c>
      <c r="G17" s="39"/>
      <c r="H17" s="39"/>
      <c r="I17" s="39"/>
      <c r="J17" s="39"/>
      <c r="K17" s="39"/>
    </row>
    <row r="18" spans="1:11" ht="39.950000000000003" customHeight="1" x14ac:dyDescent="0.25">
      <c r="A18" s="47" t="s">
        <v>304</v>
      </c>
      <c r="B18" s="20">
        <f>+VLOOKUP(A18,'Base de datos'!$A$2:$B$163,2,FALSE)</f>
        <v>0</v>
      </c>
      <c r="C18" s="22"/>
      <c r="D18" s="31"/>
      <c r="E18" s="31"/>
      <c r="F18" s="48"/>
      <c r="G18" s="32">
        <f>+G15+$H$34</f>
        <v>52</v>
      </c>
      <c r="H18" s="39"/>
      <c r="I18" s="39"/>
      <c r="J18" s="39"/>
      <c r="K18" s="39"/>
    </row>
    <row r="19" spans="1:11" ht="39.950000000000003" customHeight="1" x14ac:dyDescent="0.25">
      <c r="A19" s="47" t="s">
        <v>305</v>
      </c>
      <c r="B19" s="20">
        <f>+VLOOKUP(A19,'Base de datos'!$A$2:$B$163,2,FALSE)</f>
        <v>0</v>
      </c>
      <c r="C19" s="22"/>
      <c r="D19" s="31"/>
      <c r="E19" s="31"/>
      <c r="F19" s="48"/>
      <c r="G19" s="32">
        <f>+G18+$H$34</f>
        <v>60</v>
      </c>
      <c r="H19" s="39"/>
      <c r="I19" s="39"/>
      <c r="J19" s="39"/>
      <c r="K19" s="39"/>
    </row>
    <row r="20" spans="1:11" ht="39.950000000000003" customHeight="1" x14ac:dyDescent="0.25">
      <c r="A20" s="47" t="s">
        <v>306</v>
      </c>
      <c r="B20" s="20">
        <f>+VLOOKUP(A20,'Base de datos'!$A$2:$B$163,2,FALSE)</f>
        <v>0</v>
      </c>
      <c r="C20" s="22"/>
      <c r="D20" s="31"/>
      <c r="E20" s="31"/>
      <c r="F20" s="48"/>
      <c r="G20" s="32">
        <f>+G19+$H$34</f>
        <v>68</v>
      </c>
      <c r="H20" s="39"/>
      <c r="I20" s="39"/>
      <c r="J20" s="39"/>
      <c r="K20" s="39"/>
    </row>
    <row r="21" spans="1:11" ht="39.950000000000003" customHeight="1" x14ac:dyDescent="0.25">
      <c r="A21" s="47" t="s">
        <v>307</v>
      </c>
      <c r="B21" s="20">
        <f>+VLOOKUP(A21,'Base de datos'!$A$2:$B$163,2,FALSE)</f>
        <v>0</v>
      </c>
      <c r="C21" s="22"/>
      <c r="D21" s="31"/>
      <c r="E21" s="31"/>
      <c r="F21" s="48"/>
      <c r="G21" s="32">
        <f>+G20+$H$34</f>
        <v>76</v>
      </c>
      <c r="H21" s="39"/>
      <c r="I21" s="39"/>
      <c r="J21" s="39"/>
      <c r="K21" s="39"/>
    </row>
    <row r="22" spans="1:11" ht="39.950000000000003" customHeight="1" x14ac:dyDescent="0.25">
      <c r="A22" s="47" t="s">
        <v>308</v>
      </c>
      <c r="B22" s="20">
        <f>+VLOOKUP(A22,'Base de datos'!$A$2:$B$163,2,FALSE)</f>
        <v>0</v>
      </c>
      <c r="C22" s="22"/>
      <c r="D22" s="31"/>
      <c r="E22" s="31"/>
      <c r="F22" s="48"/>
      <c r="G22" s="32">
        <f>+G21+$H$34</f>
        <v>84</v>
      </c>
      <c r="H22" s="39"/>
      <c r="I22" s="39"/>
      <c r="J22" s="39"/>
      <c r="K22" s="39"/>
    </row>
    <row r="23" spans="1:11" ht="39.950000000000003" customHeight="1" x14ac:dyDescent="0.25">
      <c r="A23" s="83" t="s">
        <v>315</v>
      </c>
      <c r="B23" s="84"/>
      <c r="C23" s="84"/>
      <c r="D23" s="84"/>
      <c r="E23" s="84"/>
      <c r="F23" s="85"/>
      <c r="H23" s="39"/>
      <c r="I23" s="39"/>
      <c r="J23" s="39"/>
      <c r="K23" s="39"/>
    </row>
    <row r="24" spans="1:11" ht="39.950000000000003" customHeight="1" x14ac:dyDescent="0.25">
      <c r="A24" s="47" t="s">
        <v>10</v>
      </c>
      <c r="B24" s="19" t="s">
        <v>7</v>
      </c>
      <c r="C24" s="19" t="s">
        <v>23</v>
      </c>
      <c r="D24" s="19" t="s">
        <v>328</v>
      </c>
      <c r="E24" s="19" t="s">
        <v>22</v>
      </c>
      <c r="F24" s="46" t="s">
        <v>329</v>
      </c>
      <c r="H24" s="39"/>
      <c r="I24" s="39"/>
      <c r="J24" s="39"/>
      <c r="K24" s="39"/>
    </row>
    <row r="25" spans="1:11" ht="39.950000000000003" customHeight="1" x14ac:dyDescent="0.25">
      <c r="A25" s="47" t="s">
        <v>316</v>
      </c>
      <c r="B25" s="20" t="str">
        <f>+VLOOKUP(A25,'Base de datos'!$A$2:$B$163,2,FALSE)</f>
        <v>Plano de coordenadas / solar.</v>
      </c>
      <c r="C25" s="31" t="s">
        <v>384</v>
      </c>
      <c r="D25" s="31" t="s">
        <v>141</v>
      </c>
      <c r="E25" s="31" t="s">
        <v>376</v>
      </c>
      <c r="F25" s="48"/>
      <c r="H25" s="39"/>
      <c r="I25" s="39"/>
      <c r="J25" s="39"/>
      <c r="K25" s="39"/>
    </row>
    <row r="26" spans="1:11" ht="39.950000000000003" customHeight="1" x14ac:dyDescent="0.25">
      <c r="A26" s="47" t="s">
        <v>317</v>
      </c>
      <c r="B26" s="20" t="str">
        <f>+VLOOKUP(A26,'Base de datos'!$A$2:$B$163,2,FALSE)</f>
        <v>Plano curvas de nivel.</v>
      </c>
      <c r="C26" s="31"/>
      <c r="D26" s="31" t="s">
        <v>323</v>
      </c>
      <c r="E26" s="31"/>
      <c r="F26" s="48"/>
      <c r="H26" s="39"/>
      <c r="I26" s="39"/>
      <c r="J26" s="39"/>
      <c r="K26" s="39"/>
    </row>
    <row r="27" spans="1:11" ht="39.950000000000003" customHeight="1" x14ac:dyDescent="0.25">
      <c r="A27" s="47" t="s">
        <v>318</v>
      </c>
      <c r="B27" s="20" t="str">
        <f>+VLOOKUP(A27,'Base de datos'!$A$2:$B$163,2,FALSE)</f>
        <v>Plano puntos de sondeo.</v>
      </c>
      <c r="C27" s="31" t="s">
        <v>373</v>
      </c>
      <c r="D27" s="31" t="s">
        <v>141</v>
      </c>
      <c r="E27" s="31" t="s">
        <v>377</v>
      </c>
      <c r="F27" s="48" t="s">
        <v>378</v>
      </c>
      <c r="H27" s="39"/>
      <c r="I27" s="39"/>
      <c r="J27" s="39"/>
      <c r="K27" s="39"/>
    </row>
    <row r="28" spans="1:11" ht="39.950000000000003" customHeight="1" x14ac:dyDescent="0.25">
      <c r="A28" s="47" t="s">
        <v>319</v>
      </c>
      <c r="B28" s="20" t="str">
        <f>+VLOOKUP(A28,'Base de datos'!$A$2:$B$163,2,FALSE)</f>
        <v>Estudio de suelo.</v>
      </c>
      <c r="C28" s="31" t="s">
        <v>373</v>
      </c>
      <c r="D28" s="31" t="s">
        <v>141</v>
      </c>
      <c r="E28" s="31" t="s">
        <v>377</v>
      </c>
      <c r="F28" s="48"/>
      <c r="H28" s="39"/>
      <c r="I28" s="39"/>
      <c r="J28" s="39"/>
      <c r="K28" s="39"/>
    </row>
    <row r="29" spans="1:11" ht="39.950000000000003" customHeight="1" x14ac:dyDescent="0.25">
      <c r="A29" s="47" t="s">
        <v>352</v>
      </c>
      <c r="B29" s="20" t="str">
        <f>+VLOOKUP(A29,'Base de datos'!$A$2:$B$163,2,FALSE)</f>
        <v>Planta de Charrancha y Ejes.</v>
      </c>
      <c r="C29" s="31"/>
      <c r="D29" s="31" t="s">
        <v>143</v>
      </c>
      <c r="E29" s="31" t="s">
        <v>376</v>
      </c>
      <c r="F29" s="48"/>
      <c r="H29" s="39"/>
      <c r="I29" s="39"/>
      <c r="J29" s="39"/>
      <c r="K29" s="39"/>
    </row>
    <row r="30" spans="1:11" ht="39.950000000000003" customHeight="1" x14ac:dyDescent="0.25">
      <c r="A30" s="47" t="s">
        <v>353</v>
      </c>
      <c r="B30" s="20">
        <f>+VLOOKUP(A30,'Base de datos'!$A$2:$B$163,2,FALSE)</f>
        <v>0</v>
      </c>
      <c r="C30" s="31"/>
      <c r="D30" s="31"/>
      <c r="E30" s="31"/>
      <c r="F30" s="48"/>
      <c r="H30" s="39"/>
      <c r="I30" s="39"/>
      <c r="J30" s="39"/>
      <c r="K30" s="39"/>
    </row>
    <row r="31" spans="1:11" ht="39.950000000000003" customHeight="1" x14ac:dyDescent="0.25">
      <c r="A31" s="74" t="s">
        <v>185</v>
      </c>
      <c r="B31" s="75"/>
      <c r="C31" s="75"/>
      <c r="D31" s="75"/>
      <c r="E31" s="75"/>
      <c r="F31" s="76"/>
      <c r="G31" s="39"/>
      <c r="H31" s="39"/>
      <c r="I31" s="39"/>
      <c r="J31" s="39"/>
      <c r="K31" s="39"/>
    </row>
    <row r="32" spans="1:11" ht="39.950000000000003" customHeight="1" x14ac:dyDescent="0.25">
      <c r="A32" s="61" t="s">
        <v>182</v>
      </c>
      <c r="B32" s="62"/>
      <c r="C32" s="62"/>
      <c r="D32" s="62"/>
      <c r="E32" s="62"/>
      <c r="F32" s="63"/>
    </row>
    <row r="33" spans="1:8" ht="39.950000000000003" customHeight="1" x14ac:dyDescent="0.25">
      <c r="A33" s="45" t="s">
        <v>10</v>
      </c>
      <c r="B33" s="42" t="s">
        <v>7</v>
      </c>
      <c r="C33" s="42" t="s">
        <v>23</v>
      </c>
      <c r="D33" s="19" t="s">
        <v>328</v>
      </c>
      <c r="E33" s="19" t="s">
        <v>22</v>
      </c>
      <c r="F33" s="46" t="s">
        <v>329</v>
      </c>
    </row>
    <row r="34" spans="1:8" ht="39.950000000000003" customHeight="1" x14ac:dyDescent="0.25">
      <c r="A34" s="47" t="s">
        <v>186</v>
      </c>
      <c r="B34" s="20" t="str">
        <f>+VLOOKUP(A34,'Base de datos'!$A$2:$B$163,2,FALSE)</f>
        <v>Memoria descriptiva del proyecto:</v>
      </c>
      <c r="C34" s="31"/>
      <c r="D34" s="31" t="s">
        <v>143</v>
      </c>
      <c r="E34" s="31" t="s">
        <v>377</v>
      </c>
      <c r="F34" s="48"/>
      <c r="G34" s="32">
        <v>4</v>
      </c>
      <c r="H34" s="32">
        <v>8</v>
      </c>
    </row>
    <row r="35" spans="1:8" ht="39.950000000000003" customHeight="1" x14ac:dyDescent="0.25">
      <c r="A35" s="47" t="s">
        <v>187</v>
      </c>
      <c r="B35" s="20" t="str">
        <f>+VLOOKUP(A35,'Base de datos'!$A$2:$B$163,2,FALSE)</f>
        <v>Memoria de materiales del proyecto:</v>
      </c>
      <c r="C35" s="31" t="s">
        <v>382</v>
      </c>
      <c r="D35" s="31" t="s">
        <v>141</v>
      </c>
      <c r="E35" s="31" t="s">
        <v>377</v>
      </c>
      <c r="F35" s="48"/>
      <c r="G35" s="32">
        <f>+G34+$H$34</f>
        <v>12</v>
      </c>
    </row>
    <row r="36" spans="1:8" ht="39.950000000000003" customHeight="1" x14ac:dyDescent="0.25">
      <c r="A36" s="47" t="s">
        <v>188</v>
      </c>
      <c r="B36" s="20" t="str">
        <f>+VLOOKUP(A36,'Base de datos'!$A$2:$B$163,2,FALSE)</f>
        <v>Especificaciones de equipos sanitarios, eléctricos y de mecánicos:</v>
      </c>
      <c r="C36" s="31" t="s">
        <v>382</v>
      </c>
      <c r="D36" s="31" t="s">
        <v>141</v>
      </c>
      <c r="E36" s="31" t="s">
        <v>377</v>
      </c>
      <c r="F36" s="48" t="s">
        <v>383</v>
      </c>
      <c r="G36" s="32">
        <f>+G35+$H$34</f>
        <v>20</v>
      </c>
    </row>
    <row r="37" spans="1:8" ht="39.950000000000003" customHeight="1" x14ac:dyDescent="0.25">
      <c r="A37" s="47" t="s">
        <v>189</v>
      </c>
      <c r="B37" s="20" t="str">
        <f>+VLOOKUP(A37,'Base de datos'!$A$2:$B$163,2,FALSE)</f>
        <v xml:space="preserve">Listado de materiales: </v>
      </c>
      <c r="C37" s="31"/>
      <c r="D37" s="31" t="s">
        <v>143</v>
      </c>
      <c r="E37" s="31" t="s">
        <v>376</v>
      </c>
      <c r="F37" s="48"/>
      <c r="G37" s="32">
        <f>+G36+$H$34</f>
        <v>28</v>
      </c>
    </row>
    <row r="38" spans="1:8" ht="39.950000000000003" customHeight="1" x14ac:dyDescent="0.25">
      <c r="A38" s="47" t="s">
        <v>190</v>
      </c>
      <c r="B38" s="20" t="str">
        <f>+VLOOKUP(A38,'Base de datos'!$A$2:$B$163,2,FALSE)</f>
        <v>Dossier de aparatos sanitarios:</v>
      </c>
      <c r="C38" s="31"/>
      <c r="D38" s="31" t="s">
        <v>143</v>
      </c>
      <c r="E38" s="31" t="s">
        <v>376</v>
      </c>
      <c r="F38" s="48"/>
    </row>
    <row r="39" spans="1:8" ht="39.950000000000003" customHeight="1" x14ac:dyDescent="0.25">
      <c r="A39" s="47" t="s">
        <v>191</v>
      </c>
      <c r="B39" s="20" t="str">
        <f>+VLOOKUP(A39,'Base de datos'!$A$2:$B$163,2,FALSE)</f>
        <v>Dossier de herrajes:</v>
      </c>
      <c r="C39" s="31"/>
      <c r="D39" s="31" t="s">
        <v>143</v>
      </c>
      <c r="E39" s="31" t="s">
        <v>376</v>
      </c>
      <c r="F39" s="48" t="s">
        <v>385</v>
      </c>
    </row>
    <row r="40" spans="1:8" ht="39.950000000000003" customHeight="1" x14ac:dyDescent="0.25">
      <c r="A40" s="47" t="s">
        <v>192</v>
      </c>
      <c r="B40" s="20">
        <f>+VLOOKUP(A40,'Base de datos'!$A$2:$B$163,2,FALSE)</f>
        <v>0</v>
      </c>
      <c r="C40" s="31"/>
      <c r="D40" s="31"/>
      <c r="E40" s="31"/>
      <c r="F40" s="48"/>
    </row>
    <row r="41" spans="1:8" ht="39.950000000000003" customHeight="1" x14ac:dyDescent="0.25">
      <c r="A41" s="77" t="s">
        <v>173</v>
      </c>
      <c r="B41" s="78"/>
      <c r="C41" s="78"/>
      <c r="D41" s="78"/>
      <c r="E41" s="78"/>
      <c r="F41" s="79"/>
    </row>
    <row r="42" spans="1:8" ht="39.950000000000003" customHeight="1" x14ac:dyDescent="0.25">
      <c r="A42" s="47" t="s">
        <v>10</v>
      </c>
      <c r="B42" s="19" t="s">
        <v>7</v>
      </c>
      <c r="C42" s="19" t="s">
        <v>23</v>
      </c>
      <c r="D42" s="19" t="s">
        <v>328</v>
      </c>
      <c r="E42" s="19" t="s">
        <v>22</v>
      </c>
      <c r="F42" s="46" t="s">
        <v>329</v>
      </c>
    </row>
    <row r="43" spans="1:8" ht="39.950000000000003" customHeight="1" x14ac:dyDescent="0.25">
      <c r="A43" s="47" t="s">
        <v>301</v>
      </c>
      <c r="B43" s="20" t="str">
        <f>+VLOOKUP(A43,'Base de datos'!$A$2:$B$163,2,FALSE)</f>
        <v>Localización y ubicación:</v>
      </c>
      <c r="C43" s="31" t="s">
        <v>382</v>
      </c>
      <c r="D43" s="31" t="s">
        <v>141</v>
      </c>
      <c r="E43" s="31" t="s">
        <v>377</v>
      </c>
      <c r="F43" s="48"/>
      <c r="G43" s="32">
        <f>+G37+$H$34</f>
        <v>36</v>
      </c>
    </row>
    <row r="44" spans="1:8" ht="39.950000000000003" customHeight="1" x14ac:dyDescent="0.25">
      <c r="A44" s="47" t="s">
        <v>193</v>
      </c>
      <c r="B44" s="20" t="str">
        <f>+VLOOKUP(A44,'Base de datos'!$A$2:$B$163,2,FALSE)</f>
        <v>Plano de conjunto:</v>
      </c>
      <c r="C44" s="31" t="s">
        <v>382</v>
      </c>
      <c r="D44" s="31" t="s">
        <v>141</v>
      </c>
      <c r="E44" s="31" t="s">
        <v>377</v>
      </c>
      <c r="F44" s="48"/>
      <c r="G44" s="32">
        <f>+G43+$H$34</f>
        <v>44</v>
      </c>
    </row>
    <row r="45" spans="1:8" ht="39.950000000000003" customHeight="1" x14ac:dyDescent="0.25">
      <c r="A45" s="47" t="s">
        <v>194</v>
      </c>
      <c r="B45" s="20" t="str">
        <f>+VLOOKUP(A45,'Base de datos'!$A$2:$B$163,2,FALSE)</f>
        <v>Planta arquitectónica de conjunto (Por niveles):</v>
      </c>
      <c r="C45" s="31" t="s">
        <v>382</v>
      </c>
      <c r="D45" s="31" t="s">
        <v>141</v>
      </c>
      <c r="E45" s="31" t="s">
        <v>377</v>
      </c>
      <c r="F45" s="48"/>
      <c r="G45" s="32">
        <f>+G44+$H$34</f>
        <v>52</v>
      </c>
    </row>
    <row r="46" spans="1:8" ht="39.950000000000003" customHeight="1" x14ac:dyDescent="0.25">
      <c r="A46" s="47" t="s">
        <v>195</v>
      </c>
      <c r="B46" s="20" t="str">
        <f>+VLOOKUP(A46,'Base de datos'!$A$2:$B$163,2,FALSE)</f>
        <v>Plano de paisajismo esquemático:</v>
      </c>
      <c r="C46" s="31" t="s">
        <v>382</v>
      </c>
      <c r="D46" s="31" t="s">
        <v>141</v>
      </c>
      <c r="E46" s="31" t="s">
        <v>377</v>
      </c>
      <c r="F46" s="48"/>
      <c r="G46" s="32">
        <f>+G45+$H$34</f>
        <v>60</v>
      </c>
    </row>
    <row r="47" spans="1:8" ht="39.950000000000003" customHeight="1" x14ac:dyDescent="0.25">
      <c r="A47" s="47" t="s">
        <v>196</v>
      </c>
      <c r="B47" s="20" t="str">
        <f>+VLOOKUP(A47,'Base de datos'!$A$2:$B$163,2,FALSE)</f>
        <v>Plano de paisajismo definitivo:</v>
      </c>
      <c r="C47" s="31"/>
      <c r="D47" s="31" t="s">
        <v>143</v>
      </c>
      <c r="E47" s="31"/>
      <c r="F47" s="48"/>
      <c r="G47" s="32">
        <f>+G46+$H$34</f>
        <v>68</v>
      </c>
    </row>
    <row r="48" spans="1:8" ht="39.950000000000003" customHeight="1" x14ac:dyDescent="0.25">
      <c r="A48" s="47" t="s">
        <v>197</v>
      </c>
      <c r="B48" s="20">
        <f>+VLOOKUP(A48,'Base de datos'!$A$2:$B$163,2,FALSE)</f>
        <v>0</v>
      </c>
      <c r="C48" s="31"/>
      <c r="D48" s="31"/>
      <c r="E48" s="31"/>
      <c r="F48" s="48"/>
      <c r="G48" s="32">
        <f>+G47+$H$34</f>
        <v>76</v>
      </c>
    </row>
    <row r="49" spans="1:11" ht="39.950000000000003" customHeight="1" x14ac:dyDescent="0.25">
      <c r="A49" s="77" t="s">
        <v>131</v>
      </c>
      <c r="B49" s="78"/>
      <c r="C49" s="78"/>
      <c r="D49" s="78"/>
      <c r="E49" s="78"/>
      <c r="F49" s="79"/>
      <c r="H49" s="37"/>
      <c r="I49" s="37"/>
      <c r="J49" s="37"/>
      <c r="K49" s="37"/>
    </row>
    <row r="50" spans="1:11" ht="39.950000000000003" customHeight="1" x14ac:dyDescent="0.25">
      <c r="A50" s="47" t="s">
        <v>10</v>
      </c>
      <c r="B50" s="19" t="s">
        <v>7</v>
      </c>
      <c r="C50" s="19" t="s">
        <v>23</v>
      </c>
      <c r="D50" s="19" t="s">
        <v>328</v>
      </c>
      <c r="E50" s="19" t="s">
        <v>22</v>
      </c>
      <c r="F50" s="46" t="s">
        <v>329</v>
      </c>
      <c r="G50" s="37"/>
      <c r="H50" s="37"/>
      <c r="I50" s="37"/>
      <c r="J50" s="37"/>
      <c r="K50" s="37"/>
    </row>
    <row r="51" spans="1:11" ht="39.950000000000003" customHeight="1" x14ac:dyDescent="0.25">
      <c r="A51" s="47" t="s">
        <v>198</v>
      </c>
      <c r="B51" s="20" t="str">
        <f>+VLOOKUP(A51,'Base de datos'!$A$2:$B$163,2,FALSE)</f>
        <v>Plantas dimensionadas (por nivel):</v>
      </c>
      <c r="C51" s="31"/>
      <c r="D51" s="31" t="s">
        <v>143</v>
      </c>
      <c r="E51" s="31" t="s">
        <v>377</v>
      </c>
      <c r="F51" s="48"/>
      <c r="G51" s="32">
        <f>+G48+$H$34</f>
        <v>84</v>
      </c>
    </row>
    <row r="52" spans="1:11" ht="39.950000000000003" customHeight="1" x14ac:dyDescent="0.25">
      <c r="A52" s="47" t="s">
        <v>199</v>
      </c>
      <c r="B52" s="20" t="str">
        <f>+VLOOKUP(A52,'Base de datos'!$A$2:$B$163,2,FALSE)</f>
        <v>Plantas de pisos (por nivel):</v>
      </c>
      <c r="C52" s="31" t="s">
        <v>386</v>
      </c>
      <c r="D52" s="31" t="s">
        <v>141</v>
      </c>
      <c r="E52" s="31" t="s">
        <v>377</v>
      </c>
      <c r="F52" s="48"/>
      <c r="G52" s="32">
        <f>+G51+$H$34</f>
        <v>92</v>
      </c>
    </row>
    <row r="53" spans="1:11" ht="39.950000000000003" customHeight="1" x14ac:dyDescent="0.25">
      <c r="A53" s="47" t="s">
        <v>200</v>
      </c>
      <c r="B53" s="20" t="str">
        <f>+VLOOKUP(A53,'Base de datos'!$A$2:$B$163,2,FALSE)</f>
        <v>Elevaciones con especificaciones de materiales:</v>
      </c>
      <c r="C53" s="31" t="s">
        <v>382</v>
      </c>
      <c r="D53" s="31" t="s">
        <v>141</v>
      </c>
      <c r="E53" s="31" t="s">
        <v>377</v>
      </c>
      <c r="F53" s="48"/>
      <c r="G53" s="32">
        <f t="shared" ref="G53:G69" si="0">+G52+$H$34</f>
        <v>100</v>
      </c>
    </row>
    <row r="54" spans="1:11" ht="39.950000000000003" customHeight="1" x14ac:dyDescent="0.25">
      <c r="A54" s="47" t="s">
        <v>201</v>
      </c>
      <c r="B54" s="20" t="str">
        <f>+VLOOKUP(A54,'Base de datos'!$A$2:$B$163,2,FALSE)</f>
        <v>Secciones con especificaciones de materiales:</v>
      </c>
      <c r="C54" s="31" t="s">
        <v>382</v>
      </c>
      <c r="D54" s="31" t="s">
        <v>141</v>
      </c>
      <c r="E54" s="31" t="s">
        <v>377</v>
      </c>
      <c r="F54" s="48"/>
      <c r="G54" s="32">
        <f t="shared" si="0"/>
        <v>108</v>
      </c>
    </row>
    <row r="55" spans="1:11" ht="39.950000000000003" customHeight="1" x14ac:dyDescent="0.25">
      <c r="A55" s="47" t="s">
        <v>202</v>
      </c>
      <c r="B55" s="20" t="str">
        <f>+VLOOKUP(A55,'Base de datos'!$A$2:$B$163,2,FALSE)</f>
        <v>Ubicación de cuarto para equipos sanitarios:</v>
      </c>
      <c r="C55" s="31" t="s">
        <v>382</v>
      </c>
      <c r="D55" s="31" t="s">
        <v>142</v>
      </c>
      <c r="E55" s="31" t="s">
        <v>377</v>
      </c>
      <c r="F55" s="48" t="s">
        <v>387</v>
      </c>
      <c r="G55" s="32">
        <f t="shared" si="0"/>
        <v>116</v>
      </c>
    </row>
    <row r="56" spans="1:11" ht="39.950000000000003" customHeight="1" x14ac:dyDescent="0.25">
      <c r="A56" s="47" t="s">
        <v>203</v>
      </c>
      <c r="B56" s="20" t="str">
        <f>+VLOOKUP(A56,'Base de datos'!$A$2:$B$163,2,FALSE)</f>
        <v>Ubicación de compresores:</v>
      </c>
      <c r="C56" s="31"/>
      <c r="D56" s="31" t="s">
        <v>143</v>
      </c>
      <c r="E56" s="31" t="s">
        <v>377</v>
      </c>
      <c r="F56" s="48"/>
      <c r="G56" s="32">
        <f t="shared" si="0"/>
        <v>124</v>
      </c>
    </row>
    <row r="57" spans="1:11" ht="39.950000000000003" customHeight="1" x14ac:dyDescent="0.25">
      <c r="A57" s="47" t="s">
        <v>204</v>
      </c>
      <c r="B57" s="20" t="str">
        <f>+VLOOKUP(A57,'Base de datos'!$A$2:$B$163,2,FALSE)</f>
        <v>Ubicación en planos del contenedor de basura:</v>
      </c>
      <c r="C57" s="31" t="s">
        <v>382</v>
      </c>
      <c r="D57" s="31" t="s">
        <v>141</v>
      </c>
      <c r="E57" s="31" t="s">
        <v>377</v>
      </c>
      <c r="F57" s="48"/>
      <c r="G57" s="32">
        <f t="shared" si="0"/>
        <v>132</v>
      </c>
    </row>
    <row r="58" spans="1:11" ht="39.950000000000003" customHeight="1" x14ac:dyDescent="0.25">
      <c r="A58" s="47" t="s">
        <v>205</v>
      </c>
      <c r="B58" s="20" t="str">
        <f>+VLOOKUP(A58,'Base de datos'!$A$2:$B$163,2,FALSE)</f>
        <v>Ubicación en planos del tanque de gas:</v>
      </c>
      <c r="C58" s="31" t="s">
        <v>382</v>
      </c>
      <c r="D58" s="31" t="s">
        <v>141</v>
      </c>
      <c r="E58" s="31" t="s">
        <v>377</v>
      </c>
      <c r="F58" s="48"/>
      <c r="G58" s="32">
        <f t="shared" si="0"/>
        <v>140</v>
      </c>
    </row>
    <row r="59" spans="1:11" ht="39.950000000000003" customHeight="1" x14ac:dyDescent="0.25">
      <c r="A59" s="47" t="s">
        <v>206</v>
      </c>
      <c r="B59" s="20" t="str">
        <f>+VLOOKUP(A59,'Base de datos'!$A$2:$B$163,2,FALSE)</f>
        <v>Ubicación en planos del área para calentadores:</v>
      </c>
      <c r="C59" s="31"/>
      <c r="D59" s="31" t="s">
        <v>143</v>
      </c>
      <c r="E59" s="31" t="s">
        <v>377</v>
      </c>
      <c r="F59" s="48"/>
      <c r="G59" s="32">
        <f t="shared" si="0"/>
        <v>148</v>
      </c>
    </row>
    <row r="60" spans="1:11" ht="39.950000000000003" customHeight="1" x14ac:dyDescent="0.25">
      <c r="A60" s="47" t="s">
        <v>207</v>
      </c>
      <c r="B60" s="20" t="str">
        <f>+VLOOKUP(A60,'Base de datos'!$A$2:$B$163,2,FALSE)</f>
        <v>Plantas de plafones (por nivel):</v>
      </c>
      <c r="C60" s="31" t="s">
        <v>382</v>
      </c>
      <c r="D60" s="31" t="s">
        <v>141</v>
      </c>
      <c r="E60" s="31" t="s">
        <v>377</v>
      </c>
      <c r="F60" s="48"/>
      <c r="G60" s="32">
        <f t="shared" si="0"/>
        <v>156</v>
      </c>
    </row>
    <row r="61" spans="1:11" ht="39.950000000000003" customHeight="1" x14ac:dyDescent="0.25">
      <c r="A61" s="47" t="s">
        <v>208</v>
      </c>
      <c r="B61" s="20" t="str">
        <f>+VLOOKUP(A61,'Base de datos'!$A$2:$B$163,2,FALSE)</f>
        <v>Secciones de plafones:</v>
      </c>
      <c r="C61" s="31" t="s">
        <v>382</v>
      </c>
      <c r="D61" s="31" t="s">
        <v>141</v>
      </c>
      <c r="E61" s="31" t="s">
        <v>377</v>
      </c>
      <c r="F61" s="48"/>
      <c r="G61" s="32">
        <f t="shared" si="0"/>
        <v>164</v>
      </c>
    </row>
    <row r="62" spans="1:11" ht="39.950000000000003" customHeight="1" x14ac:dyDescent="0.25">
      <c r="A62" s="47" t="s">
        <v>209</v>
      </c>
      <c r="B62" s="20" t="str">
        <f>+VLOOKUP(A62,'Base de datos'!$A$2:$B$163,2,FALSE)</f>
        <v>Plantas de ubicación de iluminación e interruptores:</v>
      </c>
      <c r="C62" s="31"/>
      <c r="D62" s="31" t="s">
        <v>143</v>
      </c>
      <c r="E62" s="31" t="s">
        <v>377</v>
      </c>
      <c r="F62" s="48"/>
      <c r="G62" s="32">
        <f t="shared" si="0"/>
        <v>172</v>
      </c>
    </row>
    <row r="63" spans="1:11" ht="39.950000000000003" customHeight="1" x14ac:dyDescent="0.25">
      <c r="A63" s="47" t="s">
        <v>210</v>
      </c>
      <c r="B63" s="20" t="str">
        <f>+VLOOKUP(A63,'Base de datos'!$A$2:$B$163,2,FALSE)</f>
        <v>Plantas de ubicación de tomacorrientes:</v>
      </c>
      <c r="C63" s="31"/>
      <c r="D63" s="31" t="s">
        <v>143</v>
      </c>
      <c r="E63" s="31" t="s">
        <v>377</v>
      </c>
      <c r="F63" s="48"/>
      <c r="G63" s="32">
        <f t="shared" si="0"/>
        <v>180</v>
      </c>
    </row>
    <row r="64" spans="1:11" ht="39.950000000000003" customHeight="1" x14ac:dyDescent="0.25">
      <c r="A64" s="47" t="s">
        <v>211</v>
      </c>
      <c r="B64" s="20" t="str">
        <f>+VLOOKUP(A64,'Base de datos'!$A$2:$B$163,2,FALSE)</f>
        <v>Plantas de ubicación de audio, TV y previsiones eléctricas para cortinas:</v>
      </c>
      <c r="C64" s="31"/>
      <c r="D64" s="31" t="s">
        <v>143</v>
      </c>
      <c r="E64" s="31" t="s">
        <v>377</v>
      </c>
      <c r="F64" s="48"/>
      <c r="G64" s="32">
        <f t="shared" si="0"/>
        <v>188</v>
      </c>
    </row>
    <row r="65" spans="1:8" ht="39.950000000000003" customHeight="1" x14ac:dyDescent="0.25">
      <c r="A65" s="47" t="s">
        <v>212</v>
      </c>
      <c r="B65" s="20" t="str">
        <f>+VLOOKUP(A65,'Base de datos'!$A$2:$B$163,2,FALSE)</f>
        <v>Plantas de ubicación de cámaras:</v>
      </c>
      <c r="C65" s="31"/>
      <c r="D65" s="31" t="s">
        <v>143</v>
      </c>
      <c r="E65" s="31" t="s">
        <v>377</v>
      </c>
      <c r="F65" s="48"/>
      <c r="G65" s="32">
        <f t="shared" si="0"/>
        <v>196</v>
      </c>
    </row>
    <row r="66" spans="1:8" ht="39.950000000000003" customHeight="1" x14ac:dyDescent="0.25">
      <c r="A66" s="47" t="s">
        <v>213</v>
      </c>
      <c r="B66" s="20" t="str">
        <f>+VLOOKUP(A66,'Base de datos'!$A$2:$B$163,2,FALSE)</f>
        <v>Plantas de ubicación para previsiones de automatización:</v>
      </c>
      <c r="C66" s="31"/>
      <c r="D66" s="31" t="s">
        <v>143</v>
      </c>
      <c r="E66" s="31" t="s">
        <v>377</v>
      </c>
      <c r="F66" s="48"/>
      <c r="G66" s="32">
        <f t="shared" si="0"/>
        <v>204</v>
      </c>
    </row>
    <row r="67" spans="1:8" ht="39.950000000000003" customHeight="1" x14ac:dyDescent="0.25">
      <c r="A67" s="47" t="s">
        <v>214</v>
      </c>
      <c r="B67" s="20" t="str">
        <f>+VLOOKUP(A67,'Base de datos'!$A$2:$B$163,2,FALSE)</f>
        <v>Ubicación en planos del sistema de osmosis:</v>
      </c>
      <c r="C67" s="31"/>
      <c r="D67" s="31" t="s">
        <v>143</v>
      </c>
      <c r="E67" s="31" t="s">
        <v>377</v>
      </c>
      <c r="F67" s="48"/>
      <c r="G67" s="32">
        <f t="shared" si="0"/>
        <v>212</v>
      </c>
    </row>
    <row r="68" spans="1:8" ht="39.950000000000003" customHeight="1" x14ac:dyDescent="0.25">
      <c r="A68" s="47" t="s">
        <v>215</v>
      </c>
      <c r="B68" s="20" t="str">
        <f>+VLOOKUP(A68,'Base de datos'!$A$2:$B$163,2,FALSE)</f>
        <v>Tabla de puertas y ventanas:</v>
      </c>
      <c r="C68" s="31" t="s">
        <v>382</v>
      </c>
      <c r="D68" s="31" t="s">
        <v>145</v>
      </c>
      <c r="E68" s="31" t="s">
        <v>377</v>
      </c>
      <c r="F68" s="48"/>
      <c r="G68" s="32">
        <f t="shared" si="0"/>
        <v>220</v>
      </c>
    </row>
    <row r="69" spans="1:8" ht="39.950000000000003" customHeight="1" x14ac:dyDescent="0.25">
      <c r="A69" s="47" t="s">
        <v>216</v>
      </c>
      <c r="B69" s="20" t="str">
        <f>+VLOOKUP(A69,'Base de datos'!$A$2:$B$163,2,FALSE)</f>
        <v>Detalle de cuarto de data:</v>
      </c>
      <c r="C69" s="31"/>
      <c r="D69" s="31" t="s">
        <v>143</v>
      </c>
      <c r="E69" s="31" t="s">
        <v>377</v>
      </c>
      <c r="F69" s="48"/>
      <c r="G69" s="32">
        <f t="shared" si="0"/>
        <v>228</v>
      </c>
    </row>
    <row r="70" spans="1:8" ht="39.950000000000003" customHeight="1" x14ac:dyDescent="0.25">
      <c r="A70" s="47" t="s">
        <v>217</v>
      </c>
      <c r="B70" s="20" t="str">
        <f>+VLOOKUP(A70,'Base de datos'!$A$2:$B$163,2,FALSE)</f>
        <v>Detalle de cuarto de eléctrico:</v>
      </c>
      <c r="C70" s="31"/>
      <c r="D70" s="31" t="s">
        <v>143</v>
      </c>
      <c r="E70" s="31" t="s">
        <v>377</v>
      </c>
      <c r="F70" s="48"/>
    </row>
    <row r="71" spans="1:8" ht="39.950000000000003" customHeight="1" x14ac:dyDescent="0.25">
      <c r="A71" s="47" t="s">
        <v>218</v>
      </c>
      <c r="B71" s="20" t="str">
        <f>+VLOOKUP(A71,'Base de datos'!$A$2:$B$163,2,FALSE)</f>
        <v>Detalle de cuarto de calentadores:</v>
      </c>
      <c r="C71" s="31"/>
      <c r="D71" s="31" t="s">
        <v>143</v>
      </c>
      <c r="E71" s="31" t="s">
        <v>377</v>
      </c>
      <c r="F71" s="48"/>
    </row>
    <row r="72" spans="1:8" ht="39.950000000000003" customHeight="1" x14ac:dyDescent="0.25">
      <c r="A72" s="47" t="s">
        <v>219</v>
      </c>
      <c r="B72" s="20" t="str">
        <f>+VLOOKUP(A72,'Base de datos'!$A$2:$B$163,2,FALSE)</f>
        <v>Ubicación y detalle de vertedero:</v>
      </c>
      <c r="C72" s="31"/>
      <c r="D72" s="31" t="s">
        <v>143</v>
      </c>
      <c r="E72" s="31" t="s">
        <v>377</v>
      </c>
      <c r="F72" s="48"/>
    </row>
    <row r="73" spans="1:8" ht="39.950000000000003" customHeight="1" x14ac:dyDescent="0.25">
      <c r="A73" s="47" t="s">
        <v>220</v>
      </c>
      <c r="B73" s="20">
        <f>+VLOOKUP(A73,'Base de datos'!$A$2:$B$163,2,FALSE)</f>
        <v>0</v>
      </c>
      <c r="C73" s="31"/>
      <c r="D73" s="31"/>
      <c r="E73" s="31"/>
      <c r="F73" s="48"/>
    </row>
    <row r="74" spans="1:8" ht="39.950000000000003" customHeight="1" x14ac:dyDescent="0.25">
      <c r="A74" s="77" t="s">
        <v>130</v>
      </c>
      <c r="B74" s="78"/>
      <c r="C74" s="78"/>
      <c r="D74" s="78"/>
      <c r="E74" s="78"/>
      <c r="F74" s="79"/>
    </row>
    <row r="75" spans="1:8" ht="39.950000000000003" customHeight="1" x14ac:dyDescent="0.25">
      <c r="A75" s="47" t="s">
        <v>10</v>
      </c>
      <c r="B75" s="19" t="s">
        <v>7</v>
      </c>
      <c r="C75" s="19" t="s">
        <v>23</v>
      </c>
      <c r="D75" s="19" t="s">
        <v>328</v>
      </c>
      <c r="E75" s="19" t="s">
        <v>22</v>
      </c>
      <c r="F75" s="46" t="s">
        <v>329</v>
      </c>
    </row>
    <row r="76" spans="1:8" ht="39.950000000000003" customHeight="1" x14ac:dyDescent="0.25">
      <c r="A76" s="19" t="s">
        <v>221</v>
      </c>
      <c r="B76" s="20" t="str">
        <f>+VLOOKUP(A76,'Base de datos'!$A$2:$B$163,2,FALSE)</f>
        <v>Detalles de puertas y ventanas:</v>
      </c>
      <c r="C76" s="31" t="s">
        <v>382</v>
      </c>
      <c r="D76" s="31" t="s">
        <v>145</v>
      </c>
      <c r="E76" s="31" t="s">
        <v>377</v>
      </c>
      <c r="F76" s="48"/>
      <c r="G76" s="32">
        <f>+G69+$H$34</f>
        <v>236</v>
      </c>
      <c r="H76" s="32">
        <f>228+8</f>
        <v>236</v>
      </c>
    </row>
    <row r="77" spans="1:8" ht="39.950000000000003" customHeight="1" x14ac:dyDescent="0.25">
      <c r="A77" s="19" t="s">
        <v>222</v>
      </c>
      <c r="B77" s="20" t="str">
        <f>+VLOOKUP(A77,'Base de datos'!$A$2:$B$163,2,FALSE)</f>
        <v>Especificaciones de herrajes:</v>
      </c>
      <c r="C77" s="31" t="s">
        <v>382</v>
      </c>
      <c r="D77" s="31" t="s">
        <v>141</v>
      </c>
      <c r="E77" s="31" t="s">
        <v>377</v>
      </c>
      <c r="F77" s="48" t="s">
        <v>385</v>
      </c>
      <c r="G77" s="32">
        <f t="shared" ref="G77:G94" si="1">+G76+8</f>
        <v>244</v>
      </c>
    </row>
    <row r="78" spans="1:8" ht="39.950000000000003" customHeight="1" x14ac:dyDescent="0.25">
      <c r="A78" s="52" t="s">
        <v>223</v>
      </c>
      <c r="B78" s="20" t="str">
        <f>+VLOOKUP(A78,'Base de datos'!$A$2:$B$163,2,FALSE)</f>
        <v>Detalles de baños principales:</v>
      </c>
      <c r="C78" s="31" t="s">
        <v>386</v>
      </c>
      <c r="D78" s="31" t="s">
        <v>141</v>
      </c>
      <c r="E78" s="31" t="s">
        <v>377</v>
      </c>
      <c r="F78" s="48"/>
      <c r="G78" s="32">
        <f t="shared" si="1"/>
        <v>252</v>
      </c>
    </row>
    <row r="79" spans="1:8" ht="39.950000000000003" customHeight="1" x14ac:dyDescent="0.25">
      <c r="A79" s="52" t="s">
        <v>224</v>
      </c>
      <c r="B79" s="20" t="str">
        <f>+VLOOKUP(A79,'Base de datos'!$A$2:$B$163,2,FALSE)</f>
        <v>Detalles de baños de servicio:</v>
      </c>
      <c r="C79" s="31" t="s">
        <v>382</v>
      </c>
      <c r="D79" s="31" t="s">
        <v>141</v>
      </c>
      <c r="E79" s="31" t="s">
        <v>377</v>
      </c>
      <c r="F79" s="48"/>
      <c r="G79" s="32">
        <f t="shared" si="1"/>
        <v>260</v>
      </c>
    </row>
    <row r="80" spans="1:8" ht="39.950000000000003" customHeight="1" x14ac:dyDescent="0.25">
      <c r="A80" s="52" t="s">
        <v>225</v>
      </c>
      <c r="B80" s="20" t="str">
        <f>+VLOOKUP(A80,'Base de datos'!$A$2:$B$163,2,FALSE)</f>
        <v>Detalles de muebles de baños principales:</v>
      </c>
      <c r="C80" s="31" t="s">
        <v>386</v>
      </c>
      <c r="D80" s="31" t="s">
        <v>141</v>
      </c>
      <c r="E80" s="31" t="s">
        <v>377</v>
      </c>
      <c r="F80" s="48"/>
      <c r="G80" s="32">
        <f t="shared" si="1"/>
        <v>268</v>
      </c>
    </row>
    <row r="81" spans="1:7" ht="39.950000000000003" customHeight="1" x14ac:dyDescent="0.25">
      <c r="A81" s="52" t="s">
        <v>226</v>
      </c>
      <c r="B81" s="20" t="str">
        <f>+VLOOKUP(A81,'Base de datos'!$A$2:$B$163,2,FALSE)</f>
        <v>Detalles de muebles de baños de servicio:</v>
      </c>
      <c r="C81" s="31" t="s">
        <v>382</v>
      </c>
      <c r="D81" s="31" t="s">
        <v>141</v>
      </c>
      <c r="E81" s="31" t="s">
        <v>377</v>
      </c>
      <c r="F81" s="48"/>
      <c r="G81" s="32">
        <f t="shared" si="1"/>
        <v>276</v>
      </c>
    </row>
    <row r="82" spans="1:7" ht="39.950000000000003" customHeight="1" x14ac:dyDescent="0.25">
      <c r="A82" s="52" t="s">
        <v>227</v>
      </c>
      <c r="B82" s="20" t="str">
        <f>+VLOOKUP(A82,'Base de datos'!$A$2:$B$163,2,FALSE)</f>
        <v>Detalles de cocina principal:</v>
      </c>
      <c r="C82" s="31" t="s">
        <v>382</v>
      </c>
      <c r="D82" s="31" t="s">
        <v>141</v>
      </c>
      <c r="E82" s="31" t="s">
        <v>377</v>
      </c>
      <c r="F82" s="48"/>
      <c r="G82" s="32">
        <f t="shared" si="1"/>
        <v>284</v>
      </c>
    </row>
    <row r="83" spans="1:7" ht="39.950000000000003" customHeight="1" x14ac:dyDescent="0.25">
      <c r="A83" s="52" t="s">
        <v>228</v>
      </c>
      <c r="B83" s="20" t="str">
        <f>+VLOOKUP(A83,'Base de datos'!$A$2:$B$163,2,FALSE)</f>
        <v>Detalles de cocina secundaria:</v>
      </c>
      <c r="C83" s="31" t="s">
        <v>382</v>
      </c>
      <c r="D83" s="31" t="s">
        <v>141</v>
      </c>
      <c r="E83" s="31" t="s">
        <v>377</v>
      </c>
      <c r="F83" s="48"/>
      <c r="G83" s="32">
        <f t="shared" si="1"/>
        <v>292</v>
      </c>
    </row>
    <row r="84" spans="1:7" ht="39.950000000000003" customHeight="1" x14ac:dyDescent="0.25">
      <c r="A84" s="52" t="s">
        <v>229</v>
      </c>
      <c r="B84" s="20" t="str">
        <f>+VLOOKUP(A84,'Base de datos'!$A$2:$B$163,2,FALSE)</f>
        <v>Detalles de cocina servicios:</v>
      </c>
      <c r="C84" s="31" t="s">
        <v>386</v>
      </c>
      <c r="D84" s="31" t="s">
        <v>141</v>
      </c>
      <c r="E84" s="31" t="s">
        <v>377</v>
      </c>
      <c r="F84" s="48"/>
      <c r="G84" s="32">
        <f t="shared" si="1"/>
        <v>300</v>
      </c>
    </row>
    <row r="85" spans="1:7" ht="39.950000000000003" customHeight="1" x14ac:dyDescent="0.25">
      <c r="A85" s="52" t="s">
        <v>230</v>
      </c>
      <c r="B85" s="20" t="str">
        <f>+VLOOKUP(A85,'Base de datos'!$A$2:$B$163,2,FALSE)</f>
        <v>Detalles de cocina kitchenette:</v>
      </c>
      <c r="C85" s="31"/>
      <c r="D85" s="31" t="s">
        <v>323</v>
      </c>
      <c r="E85" s="31"/>
      <c r="F85" s="48"/>
      <c r="G85" s="32">
        <f t="shared" si="1"/>
        <v>308</v>
      </c>
    </row>
    <row r="86" spans="1:7" ht="39.950000000000003" hidden="1" customHeight="1" x14ac:dyDescent="0.25">
      <c r="A86" s="52" t="s">
        <v>231</v>
      </c>
      <c r="B86" s="57" t="str">
        <f>+VLOOKUP(A86,'Base de datos'!$A$2:$B$163,2,FALSE)</f>
        <v>Detalles de muebles de cocina principal:</v>
      </c>
      <c r="C86" s="31"/>
      <c r="D86" s="31"/>
      <c r="E86" s="31"/>
      <c r="F86" s="48"/>
      <c r="G86" s="32">
        <f t="shared" si="1"/>
        <v>316</v>
      </c>
    </row>
    <row r="87" spans="1:7" ht="39.950000000000003" hidden="1" customHeight="1" x14ac:dyDescent="0.25">
      <c r="A87" s="52" t="s">
        <v>232</v>
      </c>
      <c r="B87" s="57" t="str">
        <f>+VLOOKUP(A87,'Base de datos'!$A$2:$B$163,2,FALSE)</f>
        <v>Detalles de muebles de cocina secundaria:</v>
      </c>
      <c r="C87" s="31"/>
      <c r="D87" s="31"/>
      <c r="E87" s="31"/>
      <c r="F87" s="48"/>
      <c r="G87" s="32">
        <f t="shared" si="1"/>
        <v>324</v>
      </c>
    </row>
    <row r="88" spans="1:7" ht="39.950000000000003" hidden="1" customHeight="1" x14ac:dyDescent="0.25">
      <c r="A88" s="52" t="s">
        <v>233</v>
      </c>
      <c r="B88" s="57" t="str">
        <f>+VLOOKUP(A88,'Base de datos'!$A$2:$B$163,2,FALSE)</f>
        <v>Detalles de muebles de cocina servicios:</v>
      </c>
      <c r="C88" s="31"/>
      <c r="D88" s="31"/>
      <c r="E88" s="31"/>
      <c r="F88" s="48"/>
      <c r="G88" s="32">
        <f t="shared" si="1"/>
        <v>332</v>
      </c>
    </row>
    <row r="89" spans="1:7" ht="39.950000000000003" hidden="1" customHeight="1" x14ac:dyDescent="0.25">
      <c r="A89" s="52" t="s">
        <v>234</v>
      </c>
      <c r="B89" s="20" t="str">
        <f>+VLOOKUP(A89,'Base de datos'!$A$2:$B$163,2,FALSE)</f>
        <v>Detalles de muebles de cocina kitchenette:</v>
      </c>
      <c r="C89" s="31"/>
      <c r="D89" s="31"/>
      <c r="E89" s="31"/>
      <c r="F89" s="48"/>
      <c r="G89" s="32">
        <f t="shared" si="1"/>
        <v>340</v>
      </c>
    </row>
    <row r="90" spans="1:7" ht="39.950000000000003" customHeight="1" x14ac:dyDescent="0.25">
      <c r="A90" s="52" t="s">
        <v>235</v>
      </c>
      <c r="B90" s="20" t="str">
        <f>+VLOOKUP(A90,'Base de datos'!$A$2:$B$163,2,FALSE)</f>
        <v>Detalles de gazebo:</v>
      </c>
      <c r="C90" s="31"/>
      <c r="D90" s="31" t="s">
        <v>323</v>
      </c>
      <c r="E90" s="31"/>
      <c r="F90" s="48"/>
      <c r="G90" s="32">
        <f t="shared" si="1"/>
        <v>348</v>
      </c>
    </row>
    <row r="91" spans="1:7" ht="39.950000000000003" customHeight="1" x14ac:dyDescent="0.25">
      <c r="A91" s="52" t="s">
        <v>236</v>
      </c>
      <c r="B91" s="20" t="str">
        <f>+VLOOKUP(A91,'Base de datos'!$A$2:$B$163,2,FALSE)</f>
        <v>Detalles de cornisas:</v>
      </c>
      <c r="C91" s="31"/>
      <c r="D91" s="31" t="s">
        <v>323</v>
      </c>
      <c r="E91" s="31"/>
      <c r="F91" s="48"/>
      <c r="G91" s="32">
        <f t="shared" si="1"/>
        <v>356</v>
      </c>
    </row>
    <row r="92" spans="1:7" ht="39.950000000000003" customHeight="1" x14ac:dyDescent="0.25">
      <c r="A92" s="52" t="s">
        <v>237</v>
      </c>
      <c r="B92" s="20" t="str">
        <f>+VLOOKUP(A92,'Base de datos'!$A$2:$B$163,2,FALSE)</f>
        <v>Detalles de parqueos:</v>
      </c>
      <c r="C92" s="31"/>
      <c r="D92" s="31" t="s">
        <v>323</v>
      </c>
      <c r="E92" s="31"/>
      <c r="F92" s="48"/>
      <c r="G92" s="32">
        <f t="shared" si="1"/>
        <v>364</v>
      </c>
    </row>
    <row r="93" spans="1:7" ht="39.950000000000003" customHeight="1" x14ac:dyDescent="0.25">
      <c r="A93" s="52" t="s">
        <v>238</v>
      </c>
      <c r="B93" s="20" t="str">
        <f>+VLOOKUP(A93,'Base de datos'!$A$2:$B$163,2,FALSE)</f>
        <v>Detalles de zócalos:</v>
      </c>
      <c r="C93" s="31"/>
      <c r="D93" s="31" t="s">
        <v>143</v>
      </c>
      <c r="E93" s="31" t="s">
        <v>377</v>
      </c>
      <c r="F93" s="48"/>
      <c r="G93" s="32">
        <f t="shared" si="1"/>
        <v>372</v>
      </c>
    </row>
    <row r="94" spans="1:7" ht="39.950000000000003" customHeight="1" x14ac:dyDescent="0.25">
      <c r="A94" s="52" t="s">
        <v>239</v>
      </c>
      <c r="B94" s="20" t="str">
        <f>+VLOOKUP(A94,'Base de datos'!$A$2:$B$163,2,FALSE)</f>
        <v>Detalles de lavandería:</v>
      </c>
      <c r="C94" s="31" t="s">
        <v>382</v>
      </c>
      <c r="D94" s="31" t="s">
        <v>141</v>
      </c>
      <c r="E94" s="31" t="s">
        <v>377</v>
      </c>
      <c r="F94" s="48"/>
      <c r="G94" s="32">
        <f t="shared" si="1"/>
        <v>380</v>
      </c>
    </row>
    <row r="95" spans="1:7" ht="39.950000000000003" customHeight="1" x14ac:dyDescent="0.25">
      <c r="A95" s="52" t="s">
        <v>240</v>
      </c>
      <c r="B95" s="20" t="str">
        <f>+VLOOKUP(A95,'Base de datos'!$A$2:$B$163,2,FALSE)</f>
        <v>Esquema de iluminación y tomacorrientes:</v>
      </c>
      <c r="C95" s="31"/>
      <c r="D95" s="31" t="s">
        <v>143</v>
      </c>
      <c r="E95" s="31" t="s">
        <v>377</v>
      </c>
      <c r="F95" s="48"/>
      <c r="G95" s="32">
        <f t="shared" ref="G95:G107" si="2">+G94+8</f>
        <v>388</v>
      </c>
    </row>
    <row r="96" spans="1:7" ht="39.950000000000003" customHeight="1" x14ac:dyDescent="0.25">
      <c r="A96" s="52" t="s">
        <v>241</v>
      </c>
      <c r="B96" s="20" t="str">
        <f>+VLOOKUP(A96,'Base de datos'!$A$2:$B$163,2,FALSE)</f>
        <v>Detalles deck, jacuzzi y piscina:</v>
      </c>
      <c r="C96" s="31" t="s">
        <v>382</v>
      </c>
      <c r="D96" s="31" t="s">
        <v>141</v>
      </c>
      <c r="E96" s="31" t="s">
        <v>377</v>
      </c>
      <c r="F96" s="48"/>
      <c r="G96" s="32">
        <f t="shared" si="2"/>
        <v>396</v>
      </c>
    </row>
    <row r="97" spans="1:7" ht="39.950000000000003" customHeight="1" x14ac:dyDescent="0.25">
      <c r="A97" s="52" t="s">
        <v>242</v>
      </c>
      <c r="B97" s="20" t="str">
        <f>+VLOOKUP(A97,'Base de datos'!$A$2:$B$163,2,FALSE)</f>
        <v>Detalles de espejos de agua:</v>
      </c>
      <c r="C97" s="31"/>
      <c r="D97" s="31" t="s">
        <v>323</v>
      </c>
      <c r="E97" s="31"/>
      <c r="F97" s="48"/>
      <c r="G97" s="32">
        <f t="shared" si="2"/>
        <v>404</v>
      </c>
    </row>
    <row r="98" spans="1:7" ht="39.950000000000003" customHeight="1" x14ac:dyDescent="0.25">
      <c r="A98" s="52" t="s">
        <v>311</v>
      </c>
      <c r="B98" s="20" t="str">
        <f>+VLOOKUP(A98,'Base de datos'!$A$2:$B$163,2,FALSE)</f>
        <v>Detalles de fuentes:</v>
      </c>
      <c r="C98" s="31" t="s">
        <v>386</v>
      </c>
      <c r="D98" s="31" t="s">
        <v>141</v>
      </c>
      <c r="E98" s="31" t="s">
        <v>377</v>
      </c>
      <c r="F98" s="48"/>
      <c r="G98" s="32">
        <f t="shared" si="2"/>
        <v>412</v>
      </c>
    </row>
    <row r="99" spans="1:7" ht="39.950000000000003" customHeight="1" x14ac:dyDescent="0.25">
      <c r="A99" s="52" t="s">
        <v>312</v>
      </c>
      <c r="B99" s="20" t="str">
        <f>+VLOOKUP(A99,'Base de datos'!$A$2:$B$163,2,FALSE)</f>
        <v>Detalles de escaleras:</v>
      </c>
      <c r="C99" s="31" t="s">
        <v>386</v>
      </c>
      <c r="D99" s="31" t="s">
        <v>141</v>
      </c>
      <c r="E99" s="31" t="s">
        <v>377</v>
      </c>
      <c r="F99" s="48"/>
      <c r="G99" s="32">
        <f t="shared" si="2"/>
        <v>420</v>
      </c>
    </row>
    <row r="100" spans="1:7" ht="39.950000000000003" customHeight="1" x14ac:dyDescent="0.25">
      <c r="A100" s="52" t="s">
        <v>313</v>
      </c>
      <c r="B100" s="20" t="str">
        <f>+VLOOKUP(A100,'Base de datos'!$A$2:$B$163,2,FALSE)</f>
        <v>Detalles de barandas:</v>
      </c>
      <c r="C100" s="31" t="s">
        <v>382</v>
      </c>
      <c r="D100" s="31" t="s">
        <v>141</v>
      </c>
      <c r="E100" s="31" t="s">
        <v>377</v>
      </c>
      <c r="F100" s="48"/>
      <c r="G100" s="32">
        <f t="shared" si="2"/>
        <v>428</v>
      </c>
    </row>
    <row r="101" spans="1:7" ht="39.950000000000003" customHeight="1" x14ac:dyDescent="0.25">
      <c r="A101" s="52" t="s">
        <v>314</v>
      </c>
      <c r="B101" s="20" t="str">
        <f>+VLOOKUP(A101,'Base de datos'!$A$2:$B$163,2,FALSE)</f>
        <v>Detalles de bar:</v>
      </c>
      <c r="C101" s="31"/>
      <c r="D101" s="31" t="s">
        <v>323</v>
      </c>
      <c r="E101" s="31"/>
      <c r="F101" s="48"/>
      <c r="G101" s="32">
        <f t="shared" si="2"/>
        <v>436</v>
      </c>
    </row>
    <row r="102" spans="1:7" ht="39.950000000000003" customHeight="1" x14ac:dyDescent="0.25">
      <c r="A102" s="52" t="s">
        <v>355</v>
      </c>
      <c r="B102" s="20" t="str">
        <f>+VLOOKUP(A102,'Base de datos'!$A$2:$B$163,2,FALSE)</f>
        <v>Detalles de bbq:</v>
      </c>
      <c r="C102" s="31"/>
      <c r="D102" s="31" t="s">
        <v>323</v>
      </c>
      <c r="E102" s="31"/>
      <c r="F102" s="48"/>
      <c r="G102" s="32">
        <f t="shared" si="2"/>
        <v>444</v>
      </c>
    </row>
    <row r="103" spans="1:7" ht="39.950000000000003" customHeight="1" x14ac:dyDescent="0.25">
      <c r="A103" s="52" t="s">
        <v>356</v>
      </c>
      <c r="B103" s="20" t="str">
        <f>+VLOOKUP(A103,'Base de datos'!$A$2:$B$163,2,FALSE)</f>
        <v>Detalles de ducha de exterior:</v>
      </c>
      <c r="C103" s="31"/>
      <c r="D103" s="31" t="s">
        <v>323</v>
      </c>
      <c r="E103" s="31"/>
      <c r="F103" s="48"/>
      <c r="G103" s="32">
        <f t="shared" si="2"/>
        <v>452</v>
      </c>
    </row>
    <row r="104" spans="1:7" ht="39.950000000000003" customHeight="1" x14ac:dyDescent="0.25">
      <c r="A104" s="52" t="s">
        <v>357</v>
      </c>
      <c r="B104" s="20" t="str">
        <f>+VLOOKUP(A104,'Base de datos'!$A$2:$B$163,2,FALSE)</f>
        <v>Detalles de rampas:</v>
      </c>
      <c r="C104" s="31"/>
      <c r="D104" s="31" t="s">
        <v>323</v>
      </c>
      <c r="E104" s="31"/>
      <c r="F104" s="48"/>
      <c r="G104" s="32">
        <f t="shared" si="2"/>
        <v>460</v>
      </c>
    </row>
    <row r="105" spans="1:7" ht="39.950000000000003" customHeight="1" x14ac:dyDescent="0.25">
      <c r="A105" s="52" t="s">
        <v>358</v>
      </c>
      <c r="B105" s="20" t="str">
        <f>+VLOOKUP(A105,'Base de datos'!$A$2:$B$163,2,FALSE)</f>
        <v>Detalles de techos:</v>
      </c>
      <c r="C105" s="31" t="s">
        <v>382</v>
      </c>
      <c r="D105" s="31" t="s">
        <v>141</v>
      </c>
      <c r="E105" s="31" t="s">
        <v>377</v>
      </c>
      <c r="F105" s="48"/>
      <c r="G105" s="32">
        <f t="shared" si="2"/>
        <v>468</v>
      </c>
    </row>
    <row r="106" spans="1:7" ht="39.950000000000003" customHeight="1" x14ac:dyDescent="0.25">
      <c r="A106" s="47" t="s">
        <v>359</v>
      </c>
      <c r="B106" s="20" t="str">
        <f>+VLOOKUP(A106,'Base de datos'!$A$2:$B$163,2,FALSE)</f>
        <v>Detalles de vuelos:</v>
      </c>
      <c r="C106" s="31"/>
      <c r="D106" s="31" t="s">
        <v>143</v>
      </c>
      <c r="E106" s="31" t="s">
        <v>377</v>
      </c>
      <c r="F106" s="48" t="s">
        <v>388</v>
      </c>
      <c r="G106" s="32">
        <f t="shared" si="2"/>
        <v>476</v>
      </c>
    </row>
    <row r="107" spans="1:7" ht="39.950000000000003" customHeight="1" x14ac:dyDescent="0.25">
      <c r="A107" s="47" t="s">
        <v>362</v>
      </c>
      <c r="B107" s="20">
        <f>+VLOOKUP(A107,'Base de datos'!$A$2:$B$163,2,FALSE)</f>
        <v>0</v>
      </c>
      <c r="C107" s="31"/>
      <c r="D107" s="31"/>
      <c r="E107" s="31"/>
      <c r="F107" s="48"/>
      <c r="G107" s="32">
        <f t="shared" si="2"/>
        <v>484</v>
      </c>
    </row>
    <row r="108" spans="1:7" ht="39.950000000000003" customHeight="1" x14ac:dyDescent="0.25">
      <c r="A108" s="64" t="s">
        <v>243</v>
      </c>
      <c r="B108" s="65"/>
      <c r="C108" s="65"/>
      <c r="D108" s="65"/>
      <c r="E108" s="65"/>
      <c r="F108" s="66"/>
    </row>
    <row r="109" spans="1:7" ht="39.950000000000003" customHeight="1" x14ac:dyDescent="0.25">
      <c r="A109" s="77" t="s">
        <v>244</v>
      </c>
      <c r="B109" s="78"/>
      <c r="C109" s="78"/>
      <c r="D109" s="78"/>
      <c r="E109" s="78"/>
      <c r="F109" s="79"/>
    </row>
    <row r="110" spans="1:7" ht="39.950000000000003" customHeight="1" x14ac:dyDescent="0.25">
      <c r="A110" s="47" t="s">
        <v>10</v>
      </c>
      <c r="B110" s="19" t="s">
        <v>7</v>
      </c>
      <c r="C110" s="19" t="s">
        <v>23</v>
      </c>
      <c r="D110" s="19" t="s">
        <v>328</v>
      </c>
      <c r="E110" s="19" t="s">
        <v>22</v>
      </c>
      <c r="F110" s="46" t="s">
        <v>329</v>
      </c>
      <c r="G110" s="32">
        <f>+G109+8</f>
        <v>8</v>
      </c>
    </row>
    <row r="111" spans="1:7" ht="39.950000000000003" customHeight="1" x14ac:dyDescent="0.25">
      <c r="A111" s="47" t="s">
        <v>245</v>
      </c>
      <c r="B111" s="20" t="str">
        <f>+VLOOKUP(A111,'Base de datos'!$A$2:$B$163,2,FALSE)</f>
        <v>Detalles generales</v>
      </c>
      <c r="C111" s="31"/>
      <c r="D111" s="31"/>
      <c r="E111" s="31"/>
      <c r="F111" s="48"/>
      <c r="G111" s="32">
        <v>4</v>
      </c>
    </row>
    <row r="112" spans="1:7" ht="39.950000000000003" customHeight="1" x14ac:dyDescent="0.25">
      <c r="A112" s="47" t="s">
        <v>246</v>
      </c>
      <c r="B112" s="20" t="str">
        <f>+VLOOKUP(A112,'Base de datos'!$A$2:$B$163,2,FALSE)</f>
        <v>Planta de cimientos</v>
      </c>
      <c r="C112" s="31"/>
      <c r="D112" s="31"/>
      <c r="E112" s="31"/>
      <c r="F112" s="48"/>
      <c r="G112" s="32">
        <f>+G111+8</f>
        <v>12</v>
      </c>
    </row>
    <row r="113" spans="1:7" ht="39.950000000000003" customHeight="1" x14ac:dyDescent="0.25">
      <c r="A113" s="47" t="s">
        <v>247</v>
      </c>
      <c r="B113" s="20" t="str">
        <f>+VLOOKUP(A113,'Base de datos'!$A$2:$B$163,2,FALSE)</f>
        <v>Detalles de cimientos (zapatas, muros de mampostería, espejo de agua, pisos, etc.)</v>
      </c>
      <c r="C113" s="31"/>
      <c r="D113" s="31"/>
      <c r="E113" s="31"/>
      <c r="F113" s="48"/>
      <c r="G113" s="32">
        <f t="shared" ref="G113:G123" si="3">+G112+8</f>
        <v>20</v>
      </c>
    </row>
    <row r="114" spans="1:7" ht="39.950000000000003" customHeight="1" x14ac:dyDescent="0.25">
      <c r="A114" s="47" t="s">
        <v>248</v>
      </c>
      <c r="B114" s="20" t="str">
        <f>+VLOOKUP(A114,'Base de datos'!$A$2:$B$163,2,FALSE)</f>
        <v>Detalle de columnas y muros</v>
      </c>
      <c r="C114" s="31"/>
      <c r="D114" s="31"/>
      <c r="E114" s="31"/>
      <c r="F114" s="48"/>
      <c r="G114" s="32">
        <f t="shared" si="3"/>
        <v>28</v>
      </c>
    </row>
    <row r="115" spans="1:7" ht="39.950000000000003" customHeight="1" x14ac:dyDescent="0.25">
      <c r="A115" s="49" t="s">
        <v>249</v>
      </c>
      <c r="B115" s="20" t="str">
        <f>+VLOOKUP(A115,'Base de datos'!$A$2:$B$163,2,FALSE)</f>
        <v>Detalles de vigas y columnas sismoresistentes</v>
      </c>
      <c r="C115" s="31"/>
      <c r="D115" s="31"/>
      <c r="E115" s="31"/>
      <c r="F115" s="48"/>
      <c r="G115" s="32">
        <f t="shared" si="3"/>
        <v>36</v>
      </c>
    </row>
    <row r="116" spans="1:7" ht="39.950000000000003" customHeight="1" x14ac:dyDescent="0.25">
      <c r="A116" s="47" t="s">
        <v>250</v>
      </c>
      <c r="B116" s="20" t="str">
        <f>+VLOOKUP(A116,'Base de datos'!$A$2:$B$163,2,FALSE)</f>
        <v>Detalle de piscina y jacuzzi</v>
      </c>
      <c r="C116" s="31"/>
      <c r="D116" s="31"/>
      <c r="E116" s="31"/>
      <c r="F116" s="48"/>
      <c r="G116" s="32">
        <f t="shared" si="3"/>
        <v>44</v>
      </c>
    </row>
    <row r="117" spans="1:7" ht="57.75" customHeight="1" x14ac:dyDescent="0.25">
      <c r="A117" s="47" t="s">
        <v>251</v>
      </c>
      <c r="B117" s="20" t="str">
        <f>+VLOOKUP(A117,'Base de datos'!$A$2:$B$163,2,FALSE)</f>
        <v>Plantas estructurales (incluye detalles de losas, especificacion de armado y junta de construcción)</v>
      </c>
      <c r="C117" s="31"/>
      <c r="D117" s="31"/>
      <c r="E117" s="31"/>
      <c r="F117" s="48"/>
      <c r="G117" s="32">
        <f t="shared" si="3"/>
        <v>52</v>
      </c>
    </row>
    <row r="118" spans="1:7" ht="39.950000000000003" customHeight="1" x14ac:dyDescent="0.25">
      <c r="A118" s="47" t="s">
        <v>252</v>
      </c>
      <c r="B118" s="20" t="str">
        <f>+VLOOKUP(A118,'Base de datos'!$A$2:$B$163,2,FALSE)</f>
        <v>Detalle de vigas y pórticos</v>
      </c>
      <c r="C118" s="31"/>
      <c r="D118" s="31"/>
      <c r="E118" s="31"/>
      <c r="F118" s="48"/>
      <c r="G118" s="32">
        <f t="shared" si="3"/>
        <v>60</v>
      </c>
    </row>
    <row r="119" spans="1:7" ht="39.950000000000003" customHeight="1" x14ac:dyDescent="0.25">
      <c r="A119" s="47" t="s">
        <v>253</v>
      </c>
      <c r="B119" s="20" t="str">
        <f>+VLOOKUP(A119,'Base de datos'!$A$2:$B$163,2,FALSE)</f>
        <v>Detalle de escaleras</v>
      </c>
      <c r="C119" s="31"/>
      <c r="D119" s="31"/>
      <c r="E119" s="31"/>
      <c r="F119" s="48"/>
      <c r="G119" s="32">
        <f t="shared" si="3"/>
        <v>68</v>
      </c>
    </row>
    <row r="120" spans="1:7" ht="39.950000000000003" customHeight="1" x14ac:dyDescent="0.25">
      <c r="A120" s="47" t="s">
        <v>254</v>
      </c>
      <c r="B120" s="20" t="str">
        <f>+VLOOKUP(A120,'Base de datos'!$A$2:$B$163,2,FALSE)</f>
        <v>Detalle de encofrado</v>
      </c>
      <c r="C120" s="31"/>
      <c r="D120" s="31"/>
      <c r="E120" s="31"/>
      <c r="F120" s="48"/>
      <c r="G120" s="32">
        <f t="shared" si="3"/>
        <v>76</v>
      </c>
    </row>
    <row r="121" spans="1:7" ht="39.950000000000003" customHeight="1" x14ac:dyDescent="0.25">
      <c r="A121" s="47" t="s">
        <v>255</v>
      </c>
      <c r="B121" s="20" t="str">
        <f>+VLOOKUP(A121,'Base de datos'!$A$2:$B$163,2,FALSE)</f>
        <v>Modelos estructurales</v>
      </c>
      <c r="C121" s="31"/>
      <c r="D121" s="31"/>
      <c r="E121" s="31"/>
      <c r="F121" s="48"/>
      <c r="G121" s="32">
        <f t="shared" si="3"/>
        <v>84</v>
      </c>
    </row>
    <row r="122" spans="1:7" ht="39.950000000000003" customHeight="1" x14ac:dyDescent="0.25">
      <c r="A122" s="47" t="s">
        <v>256</v>
      </c>
      <c r="B122" s="20" t="str">
        <f>+VLOOKUP(A122,'Base de datos'!$A$2:$B$163,2,FALSE)</f>
        <v>Memoria de cálculo</v>
      </c>
      <c r="C122" s="31"/>
      <c r="D122" s="31"/>
      <c r="E122" s="31"/>
      <c r="F122" s="48"/>
      <c r="G122" s="32">
        <f t="shared" si="3"/>
        <v>92</v>
      </c>
    </row>
    <row r="123" spans="1:7" ht="39.950000000000003" customHeight="1" x14ac:dyDescent="0.25">
      <c r="A123" s="47" t="s">
        <v>257</v>
      </c>
      <c r="B123" s="20">
        <f>+VLOOKUP(A123,'Base de datos'!$A$2:$B$163,2,FALSE)</f>
        <v>0</v>
      </c>
      <c r="C123" s="31"/>
      <c r="D123" s="31"/>
      <c r="E123" s="31"/>
      <c r="F123" s="48"/>
      <c r="G123" s="32">
        <f t="shared" si="3"/>
        <v>100</v>
      </c>
    </row>
    <row r="124" spans="1:7" ht="39.950000000000003" customHeight="1" x14ac:dyDescent="0.25">
      <c r="A124" s="77" t="s">
        <v>258</v>
      </c>
      <c r="B124" s="78"/>
      <c r="C124" s="78"/>
      <c r="D124" s="78"/>
      <c r="E124" s="78"/>
      <c r="F124" s="79"/>
    </row>
    <row r="125" spans="1:7" ht="39.950000000000003" customHeight="1" x14ac:dyDescent="0.25">
      <c r="A125" s="47" t="s">
        <v>10</v>
      </c>
      <c r="B125" s="19" t="s">
        <v>7</v>
      </c>
      <c r="C125" s="19" t="s">
        <v>23</v>
      </c>
      <c r="D125" s="19" t="s">
        <v>328</v>
      </c>
      <c r="E125" s="19" t="s">
        <v>22</v>
      </c>
      <c r="F125" s="46" t="s">
        <v>329</v>
      </c>
    </row>
    <row r="126" spans="1:7" ht="39.950000000000003" customHeight="1" x14ac:dyDescent="0.25">
      <c r="A126" s="47" t="s">
        <v>259</v>
      </c>
      <c r="B126" s="20" t="str">
        <f>+VLOOKUP(A126,'Base de datos'!$A$2:$B$163,2,FALSE)</f>
        <v>Plano de alimentadores y paneles eléctricos:</v>
      </c>
      <c r="C126" s="31"/>
      <c r="D126" s="31"/>
      <c r="E126" s="31"/>
      <c r="F126" s="48"/>
      <c r="G126" s="32">
        <v>4</v>
      </c>
    </row>
    <row r="127" spans="1:7" ht="39.950000000000003" customHeight="1" x14ac:dyDescent="0.25">
      <c r="A127" s="47" t="s">
        <v>260</v>
      </c>
      <c r="B127" s="20" t="str">
        <f>+VLOOKUP(A127,'Base de datos'!$A$2:$B$163,2,FALSE)</f>
        <v>Plantas de iluminación exterior:</v>
      </c>
      <c r="C127" s="31"/>
      <c r="D127" s="31"/>
      <c r="E127" s="31"/>
      <c r="F127" s="48"/>
      <c r="G127" s="32">
        <f>+G126+8</f>
        <v>12</v>
      </c>
    </row>
    <row r="128" spans="1:7" ht="39.950000000000003" customHeight="1" x14ac:dyDescent="0.25">
      <c r="A128" s="47" t="s">
        <v>261</v>
      </c>
      <c r="B128" s="20" t="str">
        <f>+VLOOKUP(A128,'Base de datos'!$A$2:$B$163,2,FALSE)</f>
        <v>Plantas de iluminación (por nivel):</v>
      </c>
      <c r="C128" s="31"/>
      <c r="D128" s="31"/>
      <c r="E128" s="31"/>
      <c r="F128" s="48"/>
      <c r="G128" s="32">
        <f t="shared" ref="G128:G138" si="4">+G127+8</f>
        <v>20</v>
      </c>
    </row>
    <row r="129" spans="1:7" ht="39.950000000000003" customHeight="1" x14ac:dyDescent="0.25">
      <c r="A129" s="47" t="s">
        <v>262</v>
      </c>
      <c r="B129" s="20" t="str">
        <f>+VLOOKUP(A129,'Base de datos'!$A$2:$B$163,2,FALSE)</f>
        <v>Plantas de tomacorrientes (por nivel):</v>
      </c>
      <c r="C129" s="31"/>
      <c r="D129" s="31"/>
      <c r="E129" s="31"/>
      <c r="F129" s="48"/>
      <c r="G129" s="32">
        <f t="shared" si="4"/>
        <v>28</v>
      </c>
    </row>
    <row r="130" spans="1:7" ht="39.950000000000003" customHeight="1" x14ac:dyDescent="0.25">
      <c r="A130" s="47" t="s">
        <v>263</v>
      </c>
      <c r="B130" s="20" t="str">
        <f>+VLOOKUP(A130,'Base de datos'!$A$2:$B$163,2,FALSE)</f>
        <v>Plantas de instalaciones audio y data (por nivel):</v>
      </c>
      <c r="C130" s="31"/>
      <c r="D130" s="31"/>
      <c r="E130" s="31"/>
      <c r="F130" s="48"/>
      <c r="G130" s="32">
        <f t="shared" si="4"/>
        <v>36</v>
      </c>
    </row>
    <row r="131" spans="1:7" ht="39.950000000000003" customHeight="1" x14ac:dyDescent="0.25">
      <c r="A131" s="47" t="s">
        <v>264</v>
      </c>
      <c r="B131" s="20" t="str">
        <f>+VLOOKUP(A131,'Base de datos'!$A$2:$B$163,2,FALSE)</f>
        <v>Detalles de paneles:</v>
      </c>
      <c r="C131" s="31"/>
      <c r="D131" s="31"/>
      <c r="E131" s="31"/>
      <c r="F131" s="48"/>
      <c r="G131" s="32">
        <f t="shared" si="4"/>
        <v>44</v>
      </c>
    </row>
    <row r="132" spans="1:7" ht="39.950000000000003" customHeight="1" x14ac:dyDescent="0.25">
      <c r="A132" s="47" t="s">
        <v>265</v>
      </c>
      <c r="B132" s="20" t="str">
        <f>+VLOOKUP(A132,'Base de datos'!$A$2:$B$163,2,FALSE)</f>
        <v>Detalles de interruptores:</v>
      </c>
      <c r="C132" s="31"/>
      <c r="D132" s="31"/>
      <c r="E132" s="31"/>
      <c r="F132" s="48"/>
      <c r="G132" s="32">
        <f t="shared" si="4"/>
        <v>52</v>
      </c>
    </row>
    <row r="133" spans="1:7" ht="39.950000000000003" customHeight="1" x14ac:dyDescent="0.25">
      <c r="A133" s="47" t="s">
        <v>266</v>
      </c>
      <c r="B133" s="20" t="str">
        <f>+VLOOKUP(A133,'Base de datos'!$A$2:$B$163,2,FALSE)</f>
        <v>Detalles de tomacorrientes:</v>
      </c>
      <c r="C133" s="31"/>
      <c r="D133" s="31"/>
      <c r="E133" s="31"/>
      <c r="F133" s="48"/>
      <c r="G133" s="32">
        <f t="shared" si="4"/>
        <v>60</v>
      </c>
    </row>
    <row r="134" spans="1:7" ht="39.950000000000003" customHeight="1" x14ac:dyDescent="0.25">
      <c r="A134" s="47" t="s">
        <v>267</v>
      </c>
      <c r="B134" s="20" t="str">
        <f>+VLOOKUP(A134,'Base de datos'!$A$2:$B$163,2,FALSE)</f>
        <v>Detalles de alimentación eléctrica</v>
      </c>
      <c r="C134" s="31"/>
      <c r="D134" s="31"/>
      <c r="E134" s="31"/>
      <c r="F134" s="48"/>
      <c r="G134" s="32">
        <f t="shared" si="4"/>
        <v>68</v>
      </c>
    </row>
    <row r="135" spans="1:7" ht="39.950000000000003" customHeight="1" x14ac:dyDescent="0.25">
      <c r="A135" s="47" t="s">
        <v>268</v>
      </c>
      <c r="B135" s="20" t="str">
        <f>+VLOOKUP(A135,'Base de datos'!$A$2:$B$163,2,FALSE)</f>
        <v>Detalles de instalaciones sanitarias y de aires acondicionados:</v>
      </c>
      <c r="C135" s="31"/>
      <c r="D135" s="31"/>
      <c r="E135" s="31"/>
      <c r="F135" s="48"/>
      <c r="G135" s="32">
        <f t="shared" si="4"/>
        <v>76</v>
      </c>
    </row>
    <row r="136" spans="1:7" ht="39.950000000000003" customHeight="1" x14ac:dyDescent="0.25">
      <c r="A136" s="47" t="s">
        <v>269</v>
      </c>
      <c r="B136" s="20" t="str">
        <f>+VLOOKUP(A136,'Base de datos'!$A$2:$B$163,2,FALSE)</f>
        <v>Memoria de cálculos eléctricos:</v>
      </c>
      <c r="C136" s="31"/>
      <c r="D136" s="31"/>
      <c r="E136" s="31"/>
      <c r="F136" s="48"/>
      <c r="G136" s="32">
        <f t="shared" si="4"/>
        <v>84</v>
      </c>
    </row>
    <row r="137" spans="1:7" ht="39.950000000000003" customHeight="1" x14ac:dyDescent="0.25">
      <c r="A137" s="47" t="s">
        <v>270</v>
      </c>
      <c r="B137" s="20" t="str">
        <f>+VLOOKUP(A137,'Base de datos'!$A$2:$B$163,2,FALSE)</f>
        <v>Diagrama unifilar:</v>
      </c>
      <c r="C137" s="31"/>
      <c r="D137" s="31"/>
      <c r="E137" s="31"/>
      <c r="F137" s="48"/>
      <c r="G137" s="32">
        <f t="shared" si="4"/>
        <v>92</v>
      </c>
    </row>
    <row r="138" spans="1:7" ht="39.950000000000003" customHeight="1" x14ac:dyDescent="0.25">
      <c r="A138" s="47" t="s">
        <v>302</v>
      </c>
      <c r="B138" s="20" t="str">
        <f>+VLOOKUP(A138,'Base de datos'!$A$2:$B$163,2,FALSE)</f>
        <v xml:space="preserve">Plantas de salidas de Iluminación: </v>
      </c>
      <c r="C138" s="31"/>
      <c r="D138" s="31"/>
      <c r="E138" s="31"/>
      <c r="F138" s="48"/>
      <c r="G138" s="32">
        <f t="shared" si="4"/>
        <v>100</v>
      </c>
    </row>
    <row r="139" spans="1:7" ht="39.950000000000003" customHeight="1" x14ac:dyDescent="0.25">
      <c r="A139" s="47" t="s">
        <v>345</v>
      </c>
      <c r="B139" s="20" t="str">
        <f>+VLOOKUP(A139,'Base de datos'!$A$2:$B$163,2,FALSE)</f>
        <v>Plantas coordinadas de techo:</v>
      </c>
      <c r="C139" s="31"/>
      <c r="D139" s="31"/>
      <c r="E139" s="31"/>
      <c r="F139" s="48"/>
    </row>
    <row r="140" spans="1:7" ht="39.950000000000003" customHeight="1" x14ac:dyDescent="0.25">
      <c r="A140" s="47" t="s">
        <v>347</v>
      </c>
      <c r="B140" s="20">
        <f>+VLOOKUP(A140,'Base de datos'!$A$2:$B$163,2,FALSE)</f>
        <v>0</v>
      </c>
      <c r="C140" s="31"/>
      <c r="D140" s="31"/>
      <c r="E140" s="31"/>
      <c r="F140" s="48"/>
    </row>
    <row r="141" spans="1:7" ht="39.950000000000003" customHeight="1" x14ac:dyDescent="0.25">
      <c r="A141" s="77" t="s">
        <v>327</v>
      </c>
      <c r="B141" s="78"/>
      <c r="C141" s="78"/>
      <c r="D141" s="78"/>
      <c r="E141" s="78"/>
      <c r="F141" s="79"/>
    </row>
    <row r="142" spans="1:7" ht="39.950000000000003" customHeight="1" x14ac:dyDescent="0.25">
      <c r="A142" s="47" t="s">
        <v>10</v>
      </c>
      <c r="B142" s="19" t="s">
        <v>7</v>
      </c>
      <c r="C142" s="19" t="s">
        <v>23</v>
      </c>
      <c r="D142" s="19" t="s">
        <v>328</v>
      </c>
      <c r="E142" s="19" t="s">
        <v>22</v>
      </c>
      <c r="F142" s="46" t="s">
        <v>329</v>
      </c>
    </row>
    <row r="143" spans="1:7" ht="39.950000000000003" customHeight="1" x14ac:dyDescent="0.25">
      <c r="A143" s="47" t="s">
        <v>271</v>
      </c>
      <c r="B143" s="20" t="str">
        <f>+VLOOKUP(A143,'Base de datos'!$A$2:$B$163,2,FALSE)</f>
        <v>Plantas de suministro de agua (por nivel):</v>
      </c>
      <c r="C143" s="31" t="s">
        <v>372</v>
      </c>
      <c r="D143" s="31" t="s">
        <v>145</v>
      </c>
      <c r="E143" s="31" t="s">
        <v>377</v>
      </c>
      <c r="F143" s="48" t="s">
        <v>379</v>
      </c>
      <c r="G143" s="32">
        <v>4</v>
      </c>
    </row>
    <row r="144" spans="1:7" ht="39.950000000000003" customHeight="1" x14ac:dyDescent="0.25">
      <c r="A144" s="47" t="s">
        <v>272</v>
      </c>
      <c r="B144" s="20" t="str">
        <f>+VLOOKUP(A144,'Base de datos'!$A$2:$B$163,2,FALSE)</f>
        <v>Plantas de aguas negras (por nivel):</v>
      </c>
      <c r="C144" s="31" t="s">
        <v>372</v>
      </c>
      <c r="D144" s="31" t="s">
        <v>145</v>
      </c>
      <c r="E144" s="31" t="s">
        <v>377</v>
      </c>
      <c r="F144" s="48"/>
      <c r="G144" s="32">
        <f>+G143+8</f>
        <v>12</v>
      </c>
    </row>
    <row r="145" spans="1:7" ht="98.25" customHeight="1" x14ac:dyDescent="0.25">
      <c r="A145" s="47" t="s">
        <v>273</v>
      </c>
      <c r="B145" s="20" t="str">
        <f>+VLOOKUP(A145,'Base de datos'!$A$2:$B$163,2,FALSE)</f>
        <v>Plantas de desagües pluviales (por nivel):</v>
      </c>
      <c r="C145" s="31" t="s">
        <v>372</v>
      </c>
      <c r="D145" s="31" t="s">
        <v>145</v>
      </c>
      <c r="E145" s="31" t="s">
        <v>377</v>
      </c>
      <c r="F145" s="48" t="s">
        <v>381</v>
      </c>
      <c r="G145" s="32">
        <f t="shared" ref="G145:G155" si="5">+G144+8</f>
        <v>20</v>
      </c>
    </row>
    <row r="146" spans="1:7" ht="39.950000000000003" customHeight="1" x14ac:dyDescent="0.25">
      <c r="A146" s="47" t="s">
        <v>274</v>
      </c>
      <c r="B146" s="20" t="str">
        <f>+VLOOKUP(A146,'Base de datos'!$A$2:$B$163,2,FALSE)</f>
        <v>Plantas de instalaciones de gas (por nivel):</v>
      </c>
      <c r="C146" s="31"/>
      <c r="D146" s="31" t="s">
        <v>143</v>
      </c>
      <c r="E146" s="31" t="s">
        <v>377</v>
      </c>
      <c r="F146" s="48"/>
      <c r="G146" s="32">
        <f t="shared" si="5"/>
        <v>28</v>
      </c>
    </row>
    <row r="147" spans="1:7" ht="39.950000000000003" customHeight="1" x14ac:dyDescent="0.25">
      <c r="A147" s="47" t="s">
        <v>275</v>
      </c>
      <c r="B147" s="20" t="str">
        <f>+VLOOKUP(A147,'Base de datos'!$A$2:$B$163,2,FALSE)</f>
        <v>Plantas de extracciones (por nivel):</v>
      </c>
      <c r="C147" s="31"/>
      <c r="D147" s="31" t="s">
        <v>143</v>
      </c>
      <c r="E147" s="31" t="s">
        <v>377</v>
      </c>
      <c r="F147" s="48"/>
      <c r="G147" s="32">
        <f t="shared" si="5"/>
        <v>36</v>
      </c>
    </row>
    <row r="148" spans="1:7" ht="39.950000000000003" customHeight="1" x14ac:dyDescent="0.25">
      <c r="A148" s="47" t="s">
        <v>276</v>
      </c>
      <c r="B148" s="20" t="str">
        <f>+VLOOKUP(A148,'Base de datos'!$A$2:$B$163,2,FALSE)</f>
        <v>Detalles de instalaciones para piscina/jacuzzi/espejos de agua:</v>
      </c>
      <c r="C148" s="31" t="s">
        <v>372</v>
      </c>
      <c r="D148" s="31" t="s">
        <v>145</v>
      </c>
      <c r="E148" s="31" t="s">
        <v>377</v>
      </c>
      <c r="F148" s="48" t="s">
        <v>380</v>
      </c>
      <c r="G148" s="32">
        <f t="shared" si="5"/>
        <v>44</v>
      </c>
    </row>
    <row r="149" spans="1:7" ht="39.950000000000003" customHeight="1" x14ac:dyDescent="0.25">
      <c r="A149" s="47" t="s">
        <v>277</v>
      </c>
      <c r="B149" s="20" t="str">
        <f>+VLOOKUP(A149,'Base de datos'!$A$2:$B$163,2,FALSE)</f>
        <v>Isométricas (por nivel):</v>
      </c>
      <c r="C149" s="31" t="s">
        <v>372</v>
      </c>
      <c r="D149" s="31" t="s">
        <v>145</v>
      </c>
      <c r="E149" s="31" t="s">
        <v>377</v>
      </c>
      <c r="F149" s="48" t="s">
        <v>380</v>
      </c>
      <c r="G149" s="32">
        <f t="shared" si="5"/>
        <v>52</v>
      </c>
    </row>
    <row r="150" spans="1:7" ht="39.950000000000003" customHeight="1" x14ac:dyDescent="0.25">
      <c r="A150" s="47" t="s">
        <v>278</v>
      </c>
      <c r="B150" s="20" t="str">
        <f>+VLOOKUP(A150,'Base de datos'!$A$2:$B$163,2,FALSE)</f>
        <v>Detalles sanitarios:</v>
      </c>
      <c r="C150" s="31" t="s">
        <v>372</v>
      </c>
      <c r="D150" s="31" t="s">
        <v>145</v>
      </c>
      <c r="E150" s="31" t="s">
        <v>377</v>
      </c>
      <c r="F150" s="48" t="s">
        <v>380</v>
      </c>
      <c r="G150" s="32">
        <f t="shared" si="5"/>
        <v>60</v>
      </c>
    </row>
    <row r="151" spans="1:7" ht="39.950000000000003" customHeight="1" x14ac:dyDescent="0.25">
      <c r="A151" s="47" t="s">
        <v>279</v>
      </c>
      <c r="B151" s="20" t="str">
        <f>+VLOOKUP(A151,'Base de datos'!$A$2:$B$163,2,FALSE)</f>
        <v>Detalles y ubicación de manifolds:</v>
      </c>
      <c r="C151" s="31" t="s">
        <v>372</v>
      </c>
      <c r="D151" s="31" t="s">
        <v>145</v>
      </c>
      <c r="E151" s="31" t="s">
        <v>377</v>
      </c>
      <c r="F151" s="48" t="s">
        <v>380</v>
      </c>
      <c r="G151" s="32">
        <f t="shared" si="5"/>
        <v>68</v>
      </c>
    </row>
    <row r="152" spans="1:7" ht="39.950000000000003" customHeight="1" x14ac:dyDescent="0.25">
      <c r="A152" s="47" t="s">
        <v>280</v>
      </c>
      <c r="B152" s="20" t="str">
        <f>+VLOOKUP(A152,'Base de datos'!$A$2:$B$163,2,FALSE)</f>
        <v>Detalles de extracciones:</v>
      </c>
      <c r="C152" s="31"/>
      <c r="D152" s="31" t="s">
        <v>143</v>
      </c>
      <c r="E152" s="31" t="s">
        <v>377</v>
      </c>
      <c r="F152" s="48"/>
      <c r="G152" s="32">
        <f t="shared" si="5"/>
        <v>76</v>
      </c>
    </row>
    <row r="153" spans="1:7" ht="39.950000000000003" customHeight="1" x14ac:dyDescent="0.25">
      <c r="A153" s="47" t="s">
        <v>281</v>
      </c>
      <c r="B153" s="20" t="str">
        <f>+VLOOKUP(A153,'Base de datos'!$A$2:$B$163,2,FALSE)</f>
        <v>Ubicación de registros sanitarios/ trampa de grasa/ cámara séptica/ cisterna:</v>
      </c>
      <c r="C153" s="31" t="s">
        <v>372</v>
      </c>
      <c r="D153" s="31" t="s">
        <v>145</v>
      </c>
      <c r="E153" s="31" t="s">
        <v>377</v>
      </c>
      <c r="F153" s="48" t="s">
        <v>380</v>
      </c>
      <c r="G153" s="32">
        <f t="shared" si="5"/>
        <v>84</v>
      </c>
    </row>
    <row r="154" spans="1:7" ht="39.950000000000003" customHeight="1" x14ac:dyDescent="0.25">
      <c r="A154" s="47" t="s">
        <v>282</v>
      </c>
      <c r="B154" s="20" t="str">
        <f>+VLOOKUP(A154,'Base de datos'!$A$2:$B$163,2,FALSE)</f>
        <v>Memoria de cálculos hidráulicos:</v>
      </c>
      <c r="C154" s="31"/>
      <c r="D154" s="31"/>
      <c r="E154" s="31"/>
      <c r="F154" s="48"/>
      <c r="G154" s="32">
        <f t="shared" si="5"/>
        <v>92</v>
      </c>
    </row>
    <row r="155" spans="1:7" ht="39.950000000000003" customHeight="1" x14ac:dyDescent="0.25">
      <c r="A155" s="47" t="s">
        <v>303</v>
      </c>
      <c r="B155" s="20">
        <f>+VLOOKUP(A155,'Base de datos'!$A$2:$B$163,2,FALSE)</f>
        <v>0</v>
      </c>
      <c r="C155" s="31"/>
      <c r="D155" s="31"/>
      <c r="E155" s="31"/>
      <c r="F155" s="48"/>
      <c r="G155" s="32">
        <f t="shared" si="5"/>
        <v>100</v>
      </c>
    </row>
    <row r="156" spans="1:7" ht="39.950000000000003" customHeight="1" x14ac:dyDescent="0.25">
      <c r="A156" s="77" t="s">
        <v>283</v>
      </c>
      <c r="B156" s="78"/>
      <c r="C156" s="78"/>
      <c r="D156" s="78"/>
      <c r="E156" s="78"/>
      <c r="F156" s="79"/>
    </row>
    <row r="157" spans="1:7" ht="39.950000000000003" customHeight="1" x14ac:dyDescent="0.25">
      <c r="A157" s="47" t="s">
        <v>10</v>
      </c>
      <c r="B157" s="19" t="s">
        <v>7</v>
      </c>
      <c r="C157" s="19" t="s">
        <v>23</v>
      </c>
      <c r="D157" s="19" t="s">
        <v>328</v>
      </c>
      <c r="E157" s="19" t="s">
        <v>22</v>
      </c>
      <c r="F157" s="46" t="s">
        <v>329</v>
      </c>
    </row>
    <row r="158" spans="1:7" ht="39.950000000000003" customHeight="1" x14ac:dyDescent="0.25">
      <c r="A158" s="47" t="s">
        <v>284</v>
      </c>
      <c r="B158" s="20" t="str">
        <f>+VLOOKUP(A158,'Base de datos'!$A$2:$B$163,2,FALSE)</f>
        <v>Plantas de instalaciones de aires acondicionados (por nivel):</v>
      </c>
      <c r="C158" s="31"/>
      <c r="D158" s="31"/>
      <c r="E158" s="31"/>
      <c r="F158" s="48"/>
      <c r="G158" s="32">
        <v>4</v>
      </c>
    </row>
    <row r="159" spans="1:7" ht="39.950000000000003" customHeight="1" x14ac:dyDescent="0.25">
      <c r="A159" s="47" t="s">
        <v>285</v>
      </c>
      <c r="B159" s="20" t="str">
        <f>+VLOOKUP(A159,'Base de datos'!$A$2:$B$163,2,FALSE)</f>
        <v>Detalles de ductos:</v>
      </c>
      <c r="C159" s="31"/>
      <c r="D159" s="31"/>
      <c r="E159" s="31"/>
      <c r="F159" s="48"/>
      <c r="G159" s="32">
        <f>+G158+8</f>
        <v>12</v>
      </c>
    </row>
    <row r="160" spans="1:7" ht="39.950000000000003" customHeight="1" x14ac:dyDescent="0.25">
      <c r="A160" s="47" t="s">
        <v>286</v>
      </c>
      <c r="B160" s="20" t="str">
        <f>+VLOOKUP(A160,'Base de datos'!$A$2:$B$163,2,FALSE)</f>
        <v>Especificaciones de maquinas:</v>
      </c>
      <c r="C160" s="31"/>
      <c r="D160" s="31"/>
      <c r="E160" s="31"/>
      <c r="F160" s="48"/>
      <c r="G160" s="32">
        <f t="shared" ref="G160:G176" si="6">+G159+8</f>
        <v>20</v>
      </c>
    </row>
    <row r="161" spans="1:7" ht="39.950000000000003" customHeight="1" x14ac:dyDescent="0.25">
      <c r="A161" s="47" t="s">
        <v>287</v>
      </c>
      <c r="B161" s="20" t="str">
        <f>+VLOOKUP(A161,'Base de datos'!$A$2:$B$163,2,FALSE)</f>
        <v>Ubicación de compresores:</v>
      </c>
      <c r="C161" s="31"/>
      <c r="D161" s="31"/>
      <c r="E161" s="31"/>
      <c r="F161" s="48"/>
      <c r="G161" s="32">
        <f t="shared" si="6"/>
        <v>28</v>
      </c>
    </row>
    <row r="162" spans="1:7" ht="39.950000000000003" customHeight="1" x14ac:dyDescent="0.25">
      <c r="A162" s="47" t="s">
        <v>288</v>
      </c>
      <c r="B162" s="20" t="str">
        <f>+VLOOKUP(A162,'Base de datos'!$A$2:$B$163,2,FALSE)</f>
        <v>Especificaciones de rejillas de suministro, retorno y extracciones:</v>
      </c>
      <c r="C162" s="31"/>
      <c r="D162" s="31"/>
      <c r="E162" s="31"/>
      <c r="F162" s="48"/>
      <c r="G162" s="32">
        <f t="shared" si="6"/>
        <v>36</v>
      </c>
    </row>
    <row r="163" spans="1:7" ht="39.950000000000003" customHeight="1" x14ac:dyDescent="0.25">
      <c r="A163" s="47" t="s">
        <v>289</v>
      </c>
      <c r="B163" s="20" t="str">
        <f>+VLOOKUP(A163,'Base de datos'!$A$2:$B$163,2,FALSE)</f>
        <v>Especificaciones de conexiones eléctricas:</v>
      </c>
      <c r="C163" s="31"/>
      <c r="D163" s="31"/>
      <c r="E163" s="31"/>
      <c r="F163" s="48"/>
      <c r="G163" s="32">
        <f t="shared" si="6"/>
        <v>44</v>
      </c>
    </row>
    <row r="164" spans="1:7" ht="39.950000000000003" customHeight="1" x14ac:dyDescent="0.25">
      <c r="A164" s="47" t="s">
        <v>290</v>
      </c>
      <c r="B164" s="20" t="str">
        <f>+VLOOKUP(A164,'Base de datos'!$A$2:$B$163,2,FALSE)</f>
        <v>Especificaciones de desagües:</v>
      </c>
      <c r="C164" s="31"/>
      <c r="D164" s="31"/>
      <c r="E164" s="31"/>
      <c r="F164" s="48"/>
      <c r="G164" s="32">
        <f t="shared" si="6"/>
        <v>52</v>
      </c>
    </row>
    <row r="165" spans="1:7" ht="39.950000000000003" customHeight="1" x14ac:dyDescent="0.25">
      <c r="A165" s="47" t="s">
        <v>291</v>
      </c>
      <c r="B165" s="20" t="str">
        <f>+VLOOKUP(A165,'Base de datos'!$A$2:$B$163,2,FALSE)</f>
        <v>Isométricas (por nivel):</v>
      </c>
      <c r="C165" s="31"/>
      <c r="D165" s="31"/>
      <c r="E165" s="31"/>
      <c r="F165" s="48"/>
      <c r="G165" s="32">
        <f t="shared" si="6"/>
        <v>60</v>
      </c>
    </row>
    <row r="166" spans="1:7" ht="39.950000000000003" customHeight="1" x14ac:dyDescent="0.25">
      <c r="A166" s="47" t="s">
        <v>292</v>
      </c>
      <c r="B166" s="20" t="str">
        <f>+VLOOKUP(A166,'Base de datos'!$A$2:$B$163,2,FALSE)</f>
        <v>Detalles de paneles:</v>
      </c>
      <c r="C166" s="31"/>
      <c r="D166" s="31"/>
      <c r="E166" s="31"/>
      <c r="F166" s="48"/>
      <c r="G166" s="32">
        <f t="shared" si="6"/>
        <v>68</v>
      </c>
    </row>
    <row r="167" spans="1:7" ht="39.950000000000003" customHeight="1" x14ac:dyDescent="0.25">
      <c r="A167" s="47" t="s">
        <v>293</v>
      </c>
      <c r="B167" s="20" t="str">
        <f>+VLOOKUP(A167,'Base de datos'!$A$2:$B$163,2,FALSE)</f>
        <v>Especificaciones de rejillas de inspección:</v>
      </c>
      <c r="C167" s="31"/>
      <c r="D167" s="31"/>
      <c r="E167" s="31"/>
      <c r="F167" s="48"/>
      <c r="G167" s="32">
        <f t="shared" si="6"/>
        <v>76</v>
      </c>
    </row>
    <row r="168" spans="1:7" ht="39.950000000000003" customHeight="1" x14ac:dyDescent="0.25">
      <c r="A168" s="47" t="s">
        <v>341</v>
      </c>
      <c r="B168" s="20">
        <f>+VLOOKUP(A168,'Base de datos'!$A$2:$B$163,2,FALSE)</f>
        <v>0</v>
      </c>
      <c r="C168" s="31"/>
      <c r="D168" s="31"/>
      <c r="E168" s="31"/>
      <c r="F168" s="48"/>
    </row>
    <row r="169" spans="1:7" ht="39.950000000000003" customHeight="1" x14ac:dyDescent="0.25">
      <c r="A169" s="77" t="s">
        <v>294</v>
      </c>
      <c r="B169" s="78"/>
      <c r="C169" s="78"/>
      <c r="D169" s="78"/>
      <c r="E169" s="78"/>
      <c r="F169" s="79"/>
    </row>
    <row r="170" spans="1:7" ht="39.950000000000003" customHeight="1" x14ac:dyDescent="0.25">
      <c r="A170" s="47" t="s">
        <v>10</v>
      </c>
      <c r="B170" s="19" t="s">
        <v>7</v>
      </c>
      <c r="C170" s="19" t="s">
        <v>23</v>
      </c>
      <c r="D170" s="19" t="s">
        <v>328</v>
      </c>
      <c r="E170" s="19" t="s">
        <v>22</v>
      </c>
      <c r="F170" s="46" t="s">
        <v>329</v>
      </c>
    </row>
    <row r="171" spans="1:7" ht="39.950000000000003" customHeight="1" x14ac:dyDescent="0.25">
      <c r="A171" s="47" t="s">
        <v>295</v>
      </c>
      <c r="B171" s="20" t="str">
        <f>+VLOOKUP(A171,'Base de datos'!$A$2:$B$163,2,FALSE)</f>
        <v>Plantas de cámaras (por nivel):</v>
      </c>
      <c r="C171" s="31"/>
      <c r="D171" s="31"/>
      <c r="E171" s="31"/>
      <c r="F171" s="48"/>
      <c r="G171" s="32">
        <v>4</v>
      </c>
    </row>
    <row r="172" spans="1:7" ht="39.950000000000003" customHeight="1" x14ac:dyDescent="0.25">
      <c r="A172" s="47" t="s">
        <v>296</v>
      </c>
      <c r="B172" s="20" t="str">
        <f>+VLOOKUP(A172,'Base de datos'!$A$2:$B$163,2,FALSE)</f>
        <v>Plantas de audio (por nivel):</v>
      </c>
      <c r="C172" s="31"/>
      <c r="D172" s="31"/>
      <c r="E172" s="31"/>
      <c r="F172" s="48"/>
      <c r="G172" s="32">
        <f>+G171+8</f>
        <v>12</v>
      </c>
    </row>
    <row r="173" spans="1:7" ht="39.950000000000003" customHeight="1" x14ac:dyDescent="0.25">
      <c r="A173" s="47" t="s">
        <v>297</v>
      </c>
      <c r="B173" s="20" t="str">
        <f>+VLOOKUP(A173,'Base de datos'!$A$2:$B$163,2,FALSE)</f>
        <v>Plantas de antenas de internet (por nivel):</v>
      </c>
      <c r="C173" s="31"/>
      <c r="D173" s="31"/>
      <c r="E173" s="31"/>
      <c r="F173" s="48"/>
      <c r="G173" s="32">
        <f t="shared" si="6"/>
        <v>20</v>
      </c>
    </row>
    <row r="174" spans="1:7" ht="39.950000000000003" customHeight="1" x14ac:dyDescent="0.25">
      <c r="A174" s="47" t="s">
        <v>298</v>
      </c>
      <c r="B174" s="20" t="str">
        <f>+VLOOKUP(A174,'Base de datos'!$A$2:$B$163,2,FALSE)</f>
        <v>Detalles de paneles:</v>
      </c>
      <c r="C174" s="31"/>
      <c r="D174" s="31"/>
      <c r="E174" s="31"/>
      <c r="F174" s="48"/>
      <c r="G174" s="32">
        <f t="shared" si="6"/>
        <v>28</v>
      </c>
    </row>
    <row r="175" spans="1:7" ht="39.950000000000003" customHeight="1" x14ac:dyDescent="0.25">
      <c r="A175" s="47" t="s">
        <v>299</v>
      </c>
      <c r="B175" s="20" t="str">
        <f>+VLOOKUP(A175,'Base de datos'!$A$2:$B$163,2,FALSE)</f>
        <v>Ubicación de registros:</v>
      </c>
      <c r="C175" s="31"/>
      <c r="D175" s="31"/>
      <c r="E175" s="31"/>
      <c r="F175" s="48"/>
      <c r="G175" s="32">
        <f t="shared" si="6"/>
        <v>36</v>
      </c>
    </row>
    <row r="176" spans="1:7" ht="39.950000000000003" customHeight="1" x14ac:dyDescent="0.25">
      <c r="A176" s="47" t="s">
        <v>300</v>
      </c>
      <c r="B176" s="20" t="str">
        <f>+VLOOKUP(A176,'Base de datos'!$A$2:$B$163,2,FALSE)</f>
        <v>Especificaciones de conexiones eléctricas:</v>
      </c>
      <c r="C176" s="31"/>
      <c r="D176" s="31"/>
      <c r="E176" s="31"/>
      <c r="F176" s="48"/>
      <c r="G176" s="32">
        <f t="shared" si="6"/>
        <v>44</v>
      </c>
    </row>
    <row r="177" spans="1:6" ht="39.950000000000003" customHeight="1" x14ac:dyDescent="0.25">
      <c r="A177" s="47" t="s">
        <v>342</v>
      </c>
      <c r="B177" s="20">
        <f>+VLOOKUP(A177,'Base de datos'!$A$2:$B$163,2,FALSE)</f>
        <v>0</v>
      </c>
      <c r="C177" s="31"/>
      <c r="D177" s="31"/>
      <c r="E177" s="31"/>
      <c r="F177" s="48"/>
    </row>
    <row r="178" spans="1:6" s="33" customFormat="1" ht="60" customHeight="1" x14ac:dyDescent="0.25">
      <c r="A178" s="89" t="s">
        <v>330</v>
      </c>
      <c r="B178" s="90"/>
      <c r="C178" s="90"/>
      <c r="D178" s="90"/>
      <c r="E178" s="90"/>
      <c r="F178" s="91"/>
    </row>
    <row r="179" spans="1:6" ht="39.950000000000003" customHeight="1" x14ac:dyDescent="0.25">
      <c r="A179" s="61" t="s">
        <v>324</v>
      </c>
      <c r="B179" s="62"/>
      <c r="C179" s="62"/>
      <c r="D179" s="62" t="s">
        <v>324</v>
      </c>
      <c r="E179" s="62"/>
      <c r="F179" s="63"/>
    </row>
    <row r="180" spans="1:6" ht="39.950000000000003" customHeight="1" x14ac:dyDescent="0.25">
      <c r="A180" s="96" t="str">
        <f>C4</f>
        <v>Priscilla Lora</v>
      </c>
      <c r="B180" s="97"/>
      <c r="C180" s="97"/>
      <c r="D180" s="94"/>
      <c r="E180" s="94"/>
      <c r="F180" s="95"/>
    </row>
    <row r="181" spans="1:6" ht="39.950000000000003" customHeight="1" x14ac:dyDescent="0.25">
      <c r="A181" s="96"/>
      <c r="B181" s="97"/>
      <c r="C181" s="97"/>
      <c r="D181" s="94"/>
      <c r="E181" s="94"/>
      <c r="F181" s="95"/>
    </row>
    <row r="182" spans="1:6" ht="39.950000000000003" customHeight="1" x14ac:dyDescent="0.25">
      <c r="A182" s="98" t="s">
        <v>333</v>
      </c>
      <c r="B182" s="99"/>
      <c r="C182" s="100"/>
      <c r="D182" s="92" t="s">
        <v>334</v>
      </c>
      <c r="E182" s="92"/>
      <c r="F182" s="93"/>
    </row>
    <row r="183" spans="1:6" ht="39.950000000000003" customHeight="1" thickBot="1" x14ac:dyDescent="0.3">
      <c r="A183" s="86" t="s">
        <v>9</v>
      </c>
      <c r="B183" s="87"/>
      <c r="C183" s="50" t="s">
        <v>389</v>
      </c>
      <c r="D183" s="88" t="s">
        <v>9</v>
      </c>
      <c r="E183" s="87"/>
      <c r="F183" s="51" t="s">
        <v>365</v>
      </c>
    </row>
    <row r="184" spans="1:6" s="33" customFormat="1" ht="39.950000000000003" customHeight="1" x14ac:dyDescent="0.25">
      <c r="B184" s="37"/>
      <c r="C184" s="37"/>
      <c r="D184" s="37"/>
      <c r="E184" s="37"/>
      <c r="F184" s="37"/>
    </row>
    <row r="185" spans="1:6" ht="39.950000000000003" customHeight="1" x14ac:dyDescent="0.25">
      <c r="B185" s="37"/>
      <c r="C185" s="37"/>
      <c r="D185" s="37"/>
      <c r="E185" s="37"/>
      <c r="F185" s="37"/>
    </row>
    <row r="186" spans="1:6" ht="39.950000000000003" customHeight="1" x14ac:dyDescent="0.25">
      <c r="B186" s="40"/>
      <c r="C186" s="40"/>
      <c r="D186" s="40"/>
      <c r="E186" s="40"/>
      <c r="F186" s="40"/>
    </row>
    <row r="187" spans="1:6" ht="39.950000000000003" customHeight="1" x14ac:dyDescent="0.25">
      <c r="B187" s="40"/>
      <c r="C187" s="40"/>
      <c r="D187" s="40"/>
      <c r="E187" s="40"/>
      <c r="F187" s="40"/>
    </row>
    <row r="188" spans="1:6" ht="39.950000000000003" customHeight="1" x14ac:dyDescent="0.25">
      <c r="B188" s="38"/>
      <c r="C188" s="38"/>
      <c r="D188" s="38"/>
      <c r="E188" s="38"/>
      <c r="F188" s="38"/>
    </row>
    <row r="189" spans="1:6" ht="39.950000000000003" customHeight="1" x14ac:dyDescent="0.25">
      <c r="B189" s="38"/>
      <c r="C189" s="38"/>
      <c r="D189" s="38"/>
      <c r="E189" s="38"/>
      <c r="F189" s="38"/>
    </row>
    <row r="190" spans="1:6" ht="39.950000000000003" customHeight="1" x14ac:dyDescent="0.25">
      <c r="B190" s="34"/>
      <c r="C190" s="34"/>
      <c r="D190" s="34"/>
      <c r="E190" s="34"/>
      <c r="F190" s="34"/>
    </row>
    <row r="191" spans="1:6" ht="39.950000000000003" customHeight="1" x14ac:dyDescent="0.25">
      <c r="B191" s="34"/>
      <c r="C191" s="34"/>
      <c r="D191" s="34"/>
      <c r="E191" s="34"/>
      <c r="F191" s="34"/>
    </row>
    <row r="192" spans="1:6" ht="39.950000000000003" customHeight="1" x14ac:dyDescent="0.25">
      <c r="B192" s="34"/>
      <c r="C192" s="34"/>
      <c r="D192" s="34"/>
      <c r="E192" s="34"/>
      <c r="F192" s="34"/>
    </row>
    <row r="193" spans="2:6" ht="39.950000000000003" customHeight="1" x14ac:dyDescent="0.25">
      <c r="B193" s="34"/>
      <c r="C193" s="34"/>
      <c r="D193" s="34"/>
      <c r="E193" s="34"/>
      <c r="F193" s="34"/>
    </row>
    <row r="194" spans="2:6" ht="39.950000000000003" customHeight="1" x14ac:dyDescent="0.25">
      <c r="B194" s="34"/>
      <c r="C194" s="34"/>
      <c r="D194" s="34"/>
      <c r="E194" s="34"/>
      <c r="F194" s="34"/>
    </row>
    <row r="195" spans="2:6" ht="39.950000000000003" customHeight="1" x14ac:dyDescent="0.25">
      <c r="B195" s="34"/>
      <c r="C195" s="34"/>
      <c r="D195" s="34"/>
      <c r="E195" s="34"/>
      <c r="F195" s="34"/>
    </row>
    <row r="196" spans="2:6" ht="39.950000000000003" customHeight="1" x14ac:dyDescent="0.25">
      <c r="B196" s="34"/>
      <c r="C196" s="34"/>
      <c r="D196" s="34"/>
      <c r="E196" s="34"/>
      <c r="F196" s="34"/>
    </row>
    <row r="197" spans="2:6" ht="39.950000000000003" customHeight="1" x14ac:dyDescent="0.25">
      <c r="B197" s="34"/>
      <c r="C197" s="34"/>
      <c r="D197" s="34"/>
      <c r="E197" s="34"/>
      <c r="F197" s="34"/>
    </row>
    <row r="198" spans="2:6" ht="39.950000000000003" customHeight="1" x14ac:dyDescent="0.25">
      <c r="B198" s="34"/>
      <c r="C198" s="34"/>
      <c r="D198" s="34"/>
      <c r="E198" s="34"/>
      <c r="F198" s="34"/>
    </row>
    <row r="199" spans="2:6" ht="39.950000000000003" customHeight="1" x14ac:dyDescent="0.25">
      <c r="B199" s="34"/>
      <c r="C199" s="34"/>
      <c r="D199" s="34"/>
      <c r="E199" s="34"/>
      <c r="F199" s="34"/>
    </row>
    <row r="200" spans="2:6" ht="39.950000000000003" customHeight="1" x14ac:dyDescent="0.25">
      <c r="B200" s="34"/>
      <c r="C200" s="34"/>
      <c r="D200" s="34"/>
      <c r="E200" s="34"/>
      <c r="F200" s="34"/>
    </row>
    <row r="201" spans="2:6" ht="39.950000000000003" customHeight="1" x14ac:dyDescent="0.25">
      <c r="B201" s="34"/>
      <c r="C201" s="34"/>
      <c r="D201" s="34"/>
      <c r="E201" s="34"/>
      <c r="F201" s="34"/>
    </row>
    <row r="202" spans="2:6" ht="39.950000000000003" customHeight="1" x14ac:dyDescent="0.25">
      <c r="B202" s="34"/>
      <c r="C202" s="34"/>
      <c r="D202" s="34"/>
      <c r="E202" s="34"/>
      <c r="F202" s="34"/>
    </row>
    <row r="203" spans="2:6" ht="39.950000000000003" customHeight="1" x14ac:dyDescent="0.25">
      <c r="B203" s="34"/>
      <c r="C203" s="34"/>
      <c r="D203" s="34"/>
      <c r="E203" s="34"/>
      <c r="F203" s="34"/>
    </row>
    <row r="204" spans="2:6" ht="39.950000000000003" customHeight="1" x14ac:dyDescent="0.25">
      <c r="B204" s="34"/>
      <c r="C204" s="34"/>
      <c r="D204" s="34"/>
      <c r="E204" s="34"/>
      <c r="F204" s="34"/>
    </row>
    <row r="205" spans="2:6" ht="39.950000000000003" customHeight="1" x14ac:dyDescent="0.25">
      <c r="B205" s="34"/>
      <c r="C205" s="34"/>
      <c r="D205" s="34"/>
      <c r="E205" s="34"/>
      <c r="F205" s="34"/>
    </row>
    <row r="206" spans="2:6" ht="39.950000000000003" customHeight="1" x14ac:dyDescent="0.25">
      <c r="B206" s="34"/>
      <c r="C206" s="34"/>
      <c r="D206" s="34"/>
      <c r="E206" s="34"/>
      <c r="F206" s="34"/>
    </row>
    <row r="207" spans="2:6" ht="39.950000000000003" customHeight="1" x14ac:dyDescent="0.25">
      <c r="B207" s="34"/>
      <c r="C207" s="34"/>
      <c r="D207" s="34"/>
      <c r="E207" s="34"/>
      <c r="F207" s="34"/>
    </row>
    <row r="208" spans="2:6" ht="39.950000000000003" customHeight="1" x14ac:dyDescent="0.25">
      <c r="B208" s="34"/>
      <c r="C208" s="34"/>
      <c r="D208" s="34"/>
      <c r="E208" s="34"/>
      <c r="F208" s="34"/>
    </row>
    <row r="209" spans="2:6" ht="39.950000000000003" customHeight="1" x14ac:dyDescent="0.25">
      <c r="B209" s="34"/>
      <c r="C209" s="34"/>
      <c r="D209" s="34"/>
      <c r="E209" s="34"/>
      <c r="F209" s="34"/>
    </row>
    <row r="210" spans="2:6" ht="39.950000000000003" customHeight="1" x14ac:dyDescent="0.25">
      <c r="B210" s="34"/>
      <c r="C210" s="34"/>
      <c r="D210" s="34"/>
      <c r="E210" s="34"/>
      <c r="F210" s="34"/>
    </row>
    <row r="211" spans="2:6" ht="39.950000000000003" customHeight="1" x14ac:dyDescent="0.25">
      <c r="B211" s="34"/>
      <c r="C211" s="34"/>
      <c r="D211" s="34"/>
      <c r="E211" s="34"/>
      <c r="F211" s="34"/>
    </row>
    <row r="212" spans="2:6" ht="39.950000000000003" customHeight="1" x14ac:dyDescent="0.25">
      <c r="B212" s="34"/>
      <c r="C212" s="34"/>
      <c r="D212" s="34"/>
      <c r="E212" s="34"/>
      <c r="F212" s="34"/>
    </row>
    <row r="213" spans="2:6" ht="39.950000000000003" customHeight="1" x14ac:dyDescent="0.25">
      <c r="B213" s="34"/>
      <c r="C213" s="34"/>
      <c r="D213" s="34"/>
      <c r="E213" s="34"/>
      <c r="F213" s="34"/>
    </row>
    <row r="214" spans="2:6" ht="39.950000000000003" customHeight="1" x14ac:dyDescent="0.25">
      <c r="B214" s="34"/>
      <c r="C214" s="34"/>
      <c r="D214" s="34"/>
      <c r="E214" s="34"/>
      <c r="F214" s="34"/>
    </row>
    <row r="215" spans="2:6" ht="39.950000000000003" customHeight="1" x14ac:dyDescent="0.25">
      <c r="B215" s="34"/>
      <c r="C215" s="34"/>
      <c r="D215" s="34"/>
      <c r="E215" s="34"/>
      <c r="F215" s="34"/>
    </row>
    <row r="216" spans="2:6" ht="39.950000000000003" customHeight="1" x14ac:dyDescent="0.25">
      <c r="B216" s="34"/>
      <c r="C216" s="34"/>
      <c r="D216" s="34"/>
      <c r="E216" s="34"/>
      <c r="F216" s="34"/>
    </row>
    <row r="217" spans="2:6" ht="39.950000000000003" customHeight="1" x14ac:dyDescent="0.25">
      <c r="B217" s="34"/>
      <c r="C217" s="34"/>
      <c r="D217" s="34"/>
      <c r="E217" s="34"/>
      <c r="F217" s="34"/>
    </row>
    <row r="218" spans="2:6" ht="39.950000000000003" customHeight="1" x14ac:dyDescent="0.25">
      <c r="B218" s="34"/>
      <c r="C218" s="34"/>
      <c r="D218" s="34"/>
      <c r="E218" s="34"/>
      <c r="F218" s="34"/>
    </row>
    <row r="219" spans="2:6" ht="39.950000000000003" customHeight="1" x14ac:dyDescent="0.25">
      <c r="B219" s="34"/>
      <c r="C219" s="34"/>
      <c r="D219" s="34"/>
      <c r="E219" s="34"/>
      <c r="F219" s="34"/>
    </row>
    <row r="220" spans="2:6" ht="39.950000000000003" customHeight="1" x14ac:dyDescent="0.25">
      <c r="B220" s="34"/>
      <c r="C220" s="34"/>
      <c r="D220" s="34"/>
      <c r="E220" s="34"/>
      <c r="F220" s="34"/>
    </row>
    <row r="221" spans="2:6" ht="39.950000000000003" customHeight="1" x14ac:dyDescent="0.25">
      <c r="B221" s="34"/>
      <c r="C221" s="34"/>
      <c r="D221" s="34"/>
      <c r="E221" s="34"/>
      <c r="F221" s="34"/>
    </row>
    <row r="222" spans="2:6" ht="39.950000000000003" customHeight="1" x14ac:dyDescent="0.25">
      <c r="B222" s="34"/>
      <c r="C222" s="34"/>
      <c r="D222" s="34"/>
      <c r="E222" s="34"/>
      <c r="F222" s="34"/>
    </row>
    <row r="223" spans="2:6" ht="39.950000000000003" customHeight="1" x14ac:dyDescent="0.25">
      <c r="B223" s="34"/>
      <c r="C223" s="34"/>
      <c r="D223" s="34"/>
      <c r="E223" s="34"/>
      <c r="F223" s="34"/>
    </row>
    <row r="224" spans="2:6" ht="39.950000000000003" customHeight="1" x14ac:dyDescent="0.25">
      <c r="B224" s="34"/>
      <c r="C224" s="34"/>
      <c r="D224" s="34"/>
      <c r="E224" s="34"/>
      <c r="F224" s="34"/>
    </row>
    <row r="225" spans="2:6" ht="39.950000000000003" customHeight="1" x14ac:dyDescent="0.25">
      <c r="B225" s="34"/>
      <c r="C225" s="34"/>
      <c r="D225" s="34"/>
      <c r="E225" s="34"/>
      <c r="F225" s="34"/>
    </row>
    <row r="226" spans="2:6" ht="39.950000000000003" customHeight="1" x14ac:dyDescent="0.25">
      <c r="B226" s="34"/>
      <c r="C226" s="34"/>
      <c r="D226" s="34"/>
      <c r="E226" s="34"/>
      <c r="F226" s="34"/>
    </row>
    <row r="227" spans="2:6" ht="39.950000000000003" customHeight="1" x14ac:dyDescent="0.25">
      <c r="B227" s="34"/>
      <c r="C227" s="34"/>
      <c r="D227" s="34"/>
      <c r="E227" s="34"/>
      <c r="F227" s="34"/>
    </row>
    <row r="228" spans="2:6" ht="39.950000000000003" customHeight="1" x14ac:dyDescent="0.25">
      <c r="B228" s="34"/>
      <c r="C228" s="34"/>
      <c r="D228" s="34"/>
      <c r="E228" s="34"/>
      <c r="F228" s="34"/>
    </row>
    <row r="229" spans="2:6" ht="39.950000000000003" customHeight="1" x14ac:dyDescent="0.25">
      <c r="B229" s="34"/>
      <c r="C229" s="34"/>
      <c r="D229" s="34"/>
      <c r="E229" s="34"/>
      <c r="F229" s="34"/>
    </row>
    <row r="230" spans="2:6" ht="39.950000000000003" customHeight="1" x14ac:dyDescent="0.25">
      <c r="B230" s="34"/>
      <c r="C230" s="34"/>
      <c r="D230" s="34"/>
      <c r="E230" s="34"/>
      <c r="F230" s="34"/>
    </row>
    <row r="231" spans="2:6" ht="39.950000000000003" customHeight="1" x14ac:dyDescent="0.25">
      <c r="B231" s="34"/>
      <c r="C231" s="34"/>
      <c r="D231" s="34"/>
      <c r="E231" s="34"/>
      <c r="F231" s="34"/>
    </row>
  </sheetData>
  <autoFilter ref="C33:E179" xr:uid="{00000000-0009-0000-0000-000001000000}"/>
  <mergeCells count="36">
    <mergeCell ref="A183:B183"/>
    <mergeCell ref="D183:E183"/>
    <mergeCell ref="A169:F169"/>
    <mergeCell ref="A178:F178"/>
    <mergeCell ref="D179:F179"/>
    <mergeCell ref="D182:F182"/>
    <mergeCell ref="D180:F181"/>
    <mergeCell ref="A180:C181"/>
    <mergeCell ref="A182:C182"/>
    <mergeCell ref="A179:C179"/>
    <mergeCell ref="A16:F16"/>
    <mergeCell ref="A23:F23"/>
    <mergeCell ref="A31:F31"/>
    <mergeCell ref="A49:F49"/>
    <mergeCell ref="A41:F41"/>
    <mergeCell ref="A74:F74"/>
    <mergeCell ref="A109:F109"/>
    <mergeCell ref="A124:F124"/>
    <mergeCell ref="A141:F141"/>
    <mergeCell ref="A156:F156"/>
    <mergeCell ref="A1:F1"/>
    <mergeCell ref="A32:F32"/>
    <mergeCell ref="A108:F108"/>
    <mergeCell ref="D2:E2"/>
    <mergeCell ref="D3:E3"/>
    <mergeCell ref="D4:E4"/>
    <mergeCell ref="D5:E5"/>
    <mergeCell ref="D6:E6"/>
    <mergeCell ref="D7:E7"/>
    <mergeCell ref="A2:B2"/>
    <mergeCell ref="A4:B4"/>
    <mergeCell ref="A5:B5"/>
    <mergeCell ref="A6:B6"/>
    <mergeCell ref="A7:B7"/>
    <mergeCell ref="A3:B3"/>
    <mergeCell ref="A8:F8"/>
  </mergeCells>
  <phoneticPr fontId="9" type="noConversion"/>
  <conditionalFormatting sqref="A1 A2:D2 A8 A9:F15 A16 A17:F22 A23 A24:F30 A31:A32 A33:F33 C34:F40 A34:A41 A126:A141">
    <cfRule type="containsText" dxfId="348" priority="713" operator="containsText" text="EN MODIFICACIÓN">
      <formula>NOT(ISERROR(SEARCH("EN MODIFICACIÓN",A1)))</formula>
    </cfRule>
    <cfRule type="containsText" dxfId="347" priority="714" operator="containsText" text="EN REVISIÓN">
      <formula>NOT(ISERROR(SEARCH("EN REVISIÓN",A1)))</formula>
    </cfRule>
  </conditionalFormatting>
  <conditionalFormatting sqref="A43:A46 A41">
    <cfRule type="containsText" dxfId="346" priority="1022" operator="containsText" text="INCOMPLETO">
      <formula>NOT(ISERROR(SEARCH("INCOMPLETO",#REF!)))</formula>
    </cfRule>
  </conditionalFormatting>
  <conditionalFormatting sqref="A106:A107">
    <cfRule type="containsText" dxfId="345" priority="932" operator="containsText" text="INCOMPLETO">
      <formula>NOT(ISERROR(SEARCH("INCOMPLETO",#REF!)))</formula>
    </cfRule>
  </conditionalFormatting>
  <conditionalFormatting sqref="A157:B167">
    <cfRule type="containsText" dxfId="344" priority="516" operator="containsText" text="FALTANTE">
      <formula>NOT(ISERROR(SEARCH("FALTANTE",A157)))</formula>
    </cfRule>
    <cfRule type="containsText" dxfId="343" priority="517" operator="containsText" text="EN MODIFICACIÓN">
      <formula>NOT(ISERROR(SEARCH("EN MODIFICACIÓN",A157)))</formula>
    </cfRule>
    <cfRule type="containsText" dxfId="342" priority="518" operator="containsText" text="EN REVISIÓN">
      <formula>NOT(ISERROR(SEARCH("EN REVISIÓN",A157)))</formula>
    </cfRule>
  </conditionalFormatting>
  <conditionalFormatting sqref="A170:B176">
    <cfRule type="containsText" dxfId="341" priority="512" operator="containsText" text="FALTANTE">
      <formula>NOT(ISERROR(SEARCH("FALTANTE",A170)))</formula>
    </cfRule>
    <cfRule type="containsText" dxfId="340" priority="513" operator="containsText" text="EN MODIFICACIÓN">
      <formula>NOT(ISERROR(SEARCH("EN MODIFICACIÓN",A170)))</formula>
    </cfRule>
    <cfRule type="containsText" dxfId="339" priority="514" operator="containsText" text="EN REVISIÓN">
      <formula>NOT(ISERROR(SEARCH("EN REVISIÓN",A170)))</formula>
    </cfRule>
  </conditionalFormatting>
  <conditionalFormatting sqref="A3:C7">
    <cfRule type="containsText" dxfId="338" priority="617" operator="containsText" text="FALTANTE">
      <formula>NOT(ISERROR(SEARCH("FALTANTE",A3)))</formula>
    </cfRule>
    <cfRule type="containsText" dxfId="337" priority="619" operator="containsText" text="EN REVISIÓN">
      <formula>NOT(ISERROR(SEARCH("EN REVISIÓN",A3)))</formula>
    </cfRule>
    <cfRule type="containsText" dxfId="336" priority="618" operator="containsText" text="EN MODIFICACIÓN">
      <formula>NOT(ISERROR(SEARCH("EN MODIFICACIÓN",A3)))</formula>
    </cfRule>
  </conditionalFormatting>
  <conditionalFormatting sqref="A110:C110 A126:A141">
    <cfRule type="containsText" dxfId="335" priority="436" operator="containsText" text="INCOMPLETO">
      <formula>NOT(ISERROR(SEARCH("INCOMPLETO",A110)))</formula>
    </cfRule>
  </conditionalFormatting>
  <conditionalFormatting sqref="A125:C125">
    <cfRule type="containsText" dxfId="334" priority="415" operator="containsText" text="INCOMPLETO">
      <formula>NOT(ISERROR(SEARCH("INCOMPLETO",A125)))</formula>
    </cfRule>
  </conditionalFormatting>
  <conditionalFormatting sqref="A142:C142">
    <cfRule type="containsText" dxfId="333" priority="394" operator="containsText" text="INCOMPLETO">
      <formula>NOT(ISERROR(SEARCH("INCOMPLETO",A142)))</formula>
    </cfRule>
  </conditionalFormatting>
  <conditionalFormatting sqref="A42:D42">
    <cfRule type="containsText" dxfId="332" priority="484" operator="containsText" text="FALTANTE">
      <formula>NOT(ISERROR(SEARCH("FALTANTE",A42)))</formula>
    </cfRule>
    <cfRule type="containsText" dxfId="331" priority="486" operator="containsText" text="EN REVISIÓN">
      <formula>NOT(ISERROR(SEARCH("EN REVISIÓN",A42)))</formula>
    </cfRule>
    <cfRule type="containsText" dxfId="330" priority="485" operator="containsText" text="EN MODIFICACIÓN">
      <formula>NOT(ISERROR(SEARCH("EN MODIFICACIÓN",A42)))</formula>
    </cfRule>
  </conditionalFormatting>
  <conditionalFormatting sqref="A50:D50">
    <cfRule type="containsText" dxfId="329" priority="467" operator="containsText" text="FALTANTE">
      <formula>NOT(ISERROR(SEARCH("FALTANTE",A50)))</formula>
    </cfRule>
    <cfRule type="containsText" dxfId="328" priority="468" operator="containsText" text="EN MODIFICACIÓN">
      <formula>NOT(ISERROR(SEARCH("EN MODIFICACIÓN",A50)))</formula>
    </cfRule>
    <cfRule type="containsText" dxfId="327" priority="469" operator="containsText" text="EN REVISIÓN">
      <formula>NOT(ISERROR(SEARCH("EN REVISIÓN",A50)))</formula>
    </cfRule>
  </conditionalFormatting>
  <conditionalFormatting sqref="A75:D75">
    <cfRule type="containsText" dxfId="326" priority="450" operator="containsText" text="FALTANTE">
      <formula>NOT(ISERROR(SEARCH("FALTANTE",A75)))</formula>
    </cfRule>
    <cfRule type="containsText" dxfId="325" priority="451" operator="containsText" text="EN MODIFICACIÓN">
      <formula>NOT(ISERROR(SEARCH("EN MODIFICACIÓN",A75)))</formula>
    </cfRule>
    <cfRule type="containsText" dxfId="324" priority="452" operator="containsText" text="EN REVISIÓN">
      <formula>NOT(ISERROR(SEARCH("EN REVISIÓN",A75)))</formula>
    </cfRule>
  </conditionalFormatting>
  <conditionalFormatting sqref="A110:D110">
    <cfRule type="containsText" dxfId="323" priority="429" operator="containsText" text="FALTANTE">
      <formula>NOT(ISERROR(SEARCH("FALTANTE",A110)))</formula>
    </cfRule>
    <cfRule type="containsText" dxfId="322" priority="430" operator="containsText" text="EN MODIFICACIÓN">
      <formula>NOT(ISERROR(SEARCH("EN MODIFICACIÓN",A110)))</formula>
    </cfRule>
    <cfRule type="containsText" dxfId="321" priority="431" operator="containsText" text="EN REVISIÓN">
      <formula>NOT(ISERROR(SEARCH("EN REVISIÓN",A110)))</formula>
    </cfRule>
  </conditionalFormatting>
  <conditionalFormatting sqref="A125:D125">
    <cfRule type="containsText" dxfId="320" priority="409" operator="containsText" text="EN MODIFICACIÓN">
      <formula>NOT(ISERROR(SEARCH("EN MODIFICACIÓN",A125)))</formula>
    </cfRule>
    <cfRule type="containsText" dxfId="319" priority="410" operator="containsText" text="EN REVISIÓN">
      <formula>NOT(ISERROR(SEARCH("EN REVISIÓN",A125)))</formula>
    </cfRule>
    <cfRule type="containsText" dxfId="318" priority="408" operator="containsText" text="FALTANTE">
      <formula>NOT(ISERROR(SEARCH("FALTANTE",A125)))</formula>
    </cfRule>
  </conditionalFormatting>
  <conditionalFormatting sqref="A142:D142">
    <cfRule type="containsText" dxfId="317" priority="389" operator="containsText" text="EN REVISIÓN">
      <formula>NOT(ISERROR(SEARCH("EN REVISIÓN",A142)))</formula>
    </cfRule>
    <cfRule type="containsText" dxfId="316" priority="387" operator="containsText" text="FALTANTE">
      <formula>NOT(ISERROR(SEARCH("FALTANTE",A142)))</formula>
    </cfRule>
    <cfRule type="containsText" dxfId="315" priority="388" operator="containsText" text="EN MODIFICACIÓN">
      <formula>NOT(ISERROR(SEARCH("EN MODIFICACIÓN",A142)))</formula>
    </cfRule>
  </conditionalFormatting>
  <conditionalFormatting sqref="A17:F22 A24:F30 A9:F15 A33:F33 D33:D40 A2:D2 A126:A141 A1 A8 A16 A23 A31:A32 A34:A41">
    <cfRule type="containsText" dxfId="314" priority="712" operator="containsText" text="FALTANTE">
      <formula>NOT(ISERROR(SEARCH("FALTANTE",A1)))</formula>
    </cfRule>
  </conditionalFormatting>
  <conditionalFormatting sqref="A42:F42">
    <cfRule type="containsText" dxfId="313" priority="487" operator="containsText" text="INCOMPLETO">
      <formula>NOT(ISERROR(SEARCH("INCOMPLETO",#REF!)))</formula>
    </cfRule>
  </conditionalFormatting>
  <conditionalFormatting sqref="B34:B40">
    <cfRule type="containsText" dxfId="312" priority="585" operator="containsText" text="EN MODIFICACIÓN">
      <formula>NOT(ISERROR(SEARCH("EN MODIFICACIÓN",B34)))</formula>
    </cfRule>
    <cfRule type="containsText" dxfId="311" priority="666" operator="containsText" text="EN REVISIÓN">
      <formula>NOT(ISERROR(SEARCH("EN REVISIÓN",B34)))</formula>
    </cfRule>
    <cfRule type="containsText" dxfId="310" priority="584" operator="containsText" text="FALTANTE">
      <formula>NOT(ISERROR(SEARCH("FALTANTE",B34)))</formula>
    </cfRule>
    <cfRule type="containsText" dxfId="309" priority="665" operator="containsText" text="EN MODIFICACIÓN">
      <formula>NOT(ISERROR(SEARCH("EN MODIFICACIÓN",B34)))</formula>
    </cfRule>
    <cfRule type="containsText" dxfId="308" priority="586" operator="containsText" text="EN REVISIÓN">
      <formula>NOT(ISERROR(SEARCH("EN REVISIÓN",B34)))</formula>
    </cfRule>
  </conditionalFormatting>
  <conditionalFormatting sqref="B43:B48">
    <cfRule type="containsText" dxfId="307" priority="578" operator="containsText" text="EN REVISIÓN">
      <formula>NOT(ISERROR(SEARCH("EN REVISIÓN",B43)))</formula>
    </cfRule>
    <cfRule type="containsText" dxfId="306" priority="577" operator="containsText" text="EN MODIFICACIÓN">
      <formula>NOT(ISERROR(SEARCH("EN MODIFICACIÓN",B43)))</formula>
    </cfRule>
    <cfRule type="containsText" dxfId="305" priority="576" operator="containsText" text="FALTANTE">
      <formula>NOT(ISERROR(SEARCH("FALTANTE",B43)))</formula>
    </cfRule>
  </conditionalFormatting>
  <conditionalFormatting sqref="B51:B73">
    <cfRule type="containsText" dxfId="304" priority="603" operator="containsText" text="EN REVISIÓN">
      <formula>NOT(ISERROR(SEARCH("EN REVISIÓN",B51)))</formula>
    </cfRule>
    <cfRule type="containsText" dxfId="303" priority="602" operator="containsText" text="EN MODIFICACIÓN">
      <formula>NOT(ISERROR(SEARCH("EN MODIFICACIÓN",B51)))</formula>
    </cfRule>
    <cfRule type="containsText" dxfId="302" priority="601" operator="containsText" text="FALTANTE">
      <formula>NOT(ISERROR(SEARCH("FALTANTE",B51)))</formula>
    </cfRule>
  </conditionalFormatting>
  <conditionalFormatting sqref="B76:B107">
    <cfRule type="containsText" dxfId="301" priority="599" operator="containsText" text="EN REVISIÓN">
      <formula>NOT(ISERROR(SEARCH("EN REVISIÓN",B76)))</formula>
    </cfRule>
    <cfRule type="containsText" dxfId="300" priority="598" operator="containsText" text="EN MODIFICACIÓN">
      <formula>NOT(ISERROR(SEARCH("EN MODIFICACIÓN",B76)))</formula>
    </cfRule>
    <cfRule type="containsText" dxfId="299" priority="597" operator="containsText" text="FALTANTE">
      <formula>NOT(ISERROR(SEARCH("FALTANTE",B76)))</formula>
    </cfRule>
  </conditionalFormatting>
  <conditionalFormatting sqref="B111:B123">
    <cfRule type="containsText" dxfId="298" priority="529" operator="containsText" text="EN MODIFICACIÓN">
      <formula>NOT(ISERROR(SEARCH("EN MODIFICACIÓN",B111)))</formula>
    </cfRule>
    <cfRule type="containsText" dxfId="297" priority="528" operator="containsText" text="FALTANTE">
      <formula>NOT(ISERROR(SEARCH("FALTANTE",B111)))</formula>
    </cfRule>
    <cfRule type="containsText" dxfId="296" priority="530" operator="containsText" text="EN REVISIÓN">
      <formula>NOT(ISERROR(SEARCH("EN REVISIÓN",B111)))</formula>
    </cfRule>
  </conditionalFormatting>
  <conditionalFormatting sqref="B126:B140">
    <cfRule type="containsText" dxfId="295" priority="526" operator="containsText" text="EN REVISIÓN">
      <formula>NOT(ISERROR(SEARCH("EN REVISIÓN",B126)))</formula>
    </cfRule>
    <cfRule type="containsText" dxfId="294" priority="524" operator="containsText" text="FALTANTE">
      <formula>NOT(ISERROR(SEARCH("FALTANTE",B126)))</formula>
    </cfRule>
    <cfRule type="containsText" dxfId="293" priority="525" operator="containsText" text="EN MODIFICACIÓN">
      <formula>NOT(ISERROR(SEARCH("EN MODIFICACIÓN",B126)))</formula>
    </cfRule>
  </conditionalFormatting>
  <conditionalFormatting sqref="B143:B155">
    <cfRule type="containsText" dxfId="292" priority="520" operator="containsText" text="FALTANTE">
      <formula>NOT(ISERROR(SEARCH("FALTANTE",B143)))</formula>
    </cfRule>
    <cfRule type="containsText" dxfId="291" priority="521" operator="containsText" text="EN MODIFICACIÓN">
      <formula>NOT(ISERROR(SEARCH("EN MODIFICACIÓN",B143)))</formula>
    </cfRule>
    <cfRule type="containsText" dxfId="290" priority="522" operator="containsText" text="EN REVISIÓN">
      <formula>NOT(ISERROR(SEARCH("EN REVISIÓN",B143)))</formula>
    </cfRule>
  </conditionalFormatting>
  <conditionalFormatting sqref="B168">
    <cfRule type="containsText" dxfId="289" priority="307" operator="containsText" text="FALTANTE">
      <formula>NOT(ISERROR(SEARCH("FALTANTE",B168)))</formula>
    </cfRule>
    <cfRule type="containsText" dxfId="288" priority="308" operator="containsText" text="EN MODIFICACIÓN">
      <formula>NOT(ISERROR(SEARCH("EN MODIFICACIÓN",B168)))</formula>
    </cfRule>
    <cfRule type="containsText" dxfId="287" priority="309" operator="containsText" text="EN REVISIÓN">
      <formula>NOT(ISERROR(SEARCH("EN REVISIÓN",B168)))</formula>
    </cfRule>
    <cfRule type="containsText" dxfId="286" priority="316" operator="containsText" text="INCOMPLETO">
      <formula>NOT(ISERROR(SEARCH("INCOMPLETO",#REF!)))</formula>
    </cfRule>
  </conditionalFormatting>
  <conditionalFormatting sqref="B177">
    <cfRule type="containsText" dxfId="285" priority="298" operator="containsText" text="INCOMPLETO">
      <formula>NOT(ISERROR(SEARCH("INCOMPLETO",#REF!)))</formula>
    </cfRule>
    <cfRule type="containsText" dxfId="284" priority="291" operator="containsText" text="EN REVISIÓN">
      <formula>NOT(ISERROR(SEARCH("EN REVISIÓN",B177)))</formula>
    </cfRule>
    <cfRule type="containsText" dxfId="283" priority="289" operator="containsText" text="FALTANTE">
      <formula>NOT(ISERROR(SEARCH("FALTANTE",B177)))</formula>
    </cfRule>
    <cfRule type="containsText" dxfId="282" priority="290" operator="containsText" text="EN MODIFICACIÓN">
      <formula>NOT(ISERROR(SEARCH("EN MODIFICACIÓN",B177)))</formula>
    </cfRule>
  </conditionalFormatting>
  <conditionalFormatting sqref="B34:F40">
    <cfRule type="containsText" dxfId="281" priority="664" operator="containsText" text="FALTANTE">
      <formula>NOT(ISERROR(SEARCH("FALTANTE",B34)))</formula>
    </cfRule>
  </conditionalFormatting>
  <conditionalFormatting sqref="C43:C46">
    <cfRule type="containsText" dxfId="280" priority="106" operator="containsText" text="EN REVISIÓN">
      <formula>NOT(ISERROR(SEARCH("EN REVISIÓN",C43)))</formula>
    </cfRule>
    <cfRule type="containsText" dxfId="279" priority="104" operator="containsText" text="FALTANTE">
      <formula>NOT(ISERROR(SEARCH("FALTANTE",C43)))</formula>
    </cfRule>
    <cfRule type="containsText" dxfId="278" priority="105" operator="containsText" text="EN MODIFICACIÓN">
      <formula>NOT(ISERROR(SEARCH("EN MODIFICACIÓN",C43)))</formula>
    </cfRule>
  </conditionalFormatting>
  <conditionalFormatting sqref="C53:C55">
    <cfRule type="containsText" dxfId="277" priority="102" operator="containsText" text="EN REVISIÓN">
      <formula>NOT(ISERROR(SEARCH("EN REVISIÓN",C53)))</formula>
    </cfRule>
    <cfRule type="containsText" dxfId="276" priority="101" operator="containsText" text="EN MODIFICACIÓN">
      <formula>NOT(ISERROR(SEARCH("EN MODIFICACIÓN",C53)))</formula>
    </cfRule>
    <cfRule type="containsText" dxfId="275" priority="103" operator="containsText" text="INCOMPLETO">
      <formula>NOT(ISERROR(SEARCH("INCOMPLETO",#REF!)))</formula>
    </cfRule>
    <cfRule type="containsText" dxfId="274" priority="100" operator="containsText" text="FALTANTE">
      <formula>NOT(ISERROR(SEARCH("FALTANTE",C53)))</formula>
    </cfRule>
  </conditionalFormatting>
  <conditionalFormatting sqref="C57:C58">
    <cfRule type="containsText" dxfId="273" priority="88" operator="containsText" text="INCOMPLETO">
      <formula>NOT(ISERROR(SEARCH("INCOMPLETO",#REF!)))</formula>
    </cfRule>
    <cfRule type="containsText" dxfId="272" priority="87" operator="containsText" text="EN REVISIÓN">
      <formula>NOT(ISERROR(SEARCH("EN REVISIÓN",C57)))</formula>
    </cfRule>
    <cfRule type="containsText" dxfId="271" priority="86" operator="containsText" text="EN MODIFICACIÓN">
      <formula>NOT(ISERROR(SEARCH("EN MODIFICACIÓN",C57)))</formula>
    </cfRule>
    <cfRule type="containsText" dxfId="270" priority="85" operator="containsText" text="FALTANTE">
      <formula>NOT(ISERROR(SEARCH("FALTANTE",C57)))</formula>
    </cfRule>
  </conditionalFormatting>
  <conditionalFormatting sqref="C60:C61">
    <cfRule type="containsText" dxfId="269" priority="83" operator="containsText" text="INCOMPLETO">
      <formula>NOT(ISERROR(SEARCH("INCOMPLETO",#REF!)))</formula>
    </cfRule>
    <cfRule type="containsText" dxfId="268" priority="82" operator="containsText" text="EN REVISIÓN">
      <formula>NOT(ISERROR(SEARCH("EN REVISIÓN",C60)))</formula>
    </cfRule>
    <cfRule type="containsText" dxfId="267" priority="81" operator="containsText" text="EN MODIFICACIÓN">
      <formula>NOT(ISERROR(SEARCH("EN MODIFICACIÓN",C60)))</formula>
    </cfRule>
    <cfRule type="containsText" dxfId="266" priority="80" operator="containsText" text="FALTANTE">
      <formula>NOT(ISERROR(SEARCH("FALTANTE",C60)))</formula>
    </cfRule>
  </conditionalFormatting>
  <conditionalFormatting sqref="C68">
    <cfRule type="containsText" dxfId="265" priority="78" operator="containsText" text="INCOMPLETO">
      <formula>NOT(ISERROR(SEARCH("INCOMPLETO",#REF!)))</formula>
    </cfRule>
    <cfRule type="containsText" dxfId="264" priority="77" operator="containsText" text="EN REVISIÓN">
      <formula>NOT(ISERROR(SEARCH("EN REVISIÓN",C68)))</formula>
    </cfRule>
    <cfRule type="containsText" dxfId="263" priority="76" operator="containsText" text="EN MODIFICACIÓN">
      <formula>NOT(ISERROR(SEARCH("EN MODIFICACIÓN",C68)))</formula>
    </cfRule>
    <cfRule type="containsText" dxfId="262" priority="75" operator="containsText" text="FALTANTE">
      <formula>NOT(ISERROR(SEARCH("FALTANTE",C68)))</formula>
    </cfRule>
  </conditionalFormatting>
  <conditionalFormatting sqref="C76:C84">
    <cfRule type="containsText" dxfId="261" priority="34" operator="containsText" text="INCOMPLETO">
      <formula>NOT(ISERROR(SEARCH("INCOMPLETO",#REF!)))</formula>
    </cfRule>
    <cfRule type="containsText" dxfId="260" priority="33" operator="containsText" text="EN REVISIÓN">
      <formula>NOT(ISERROR(SEARCH("EN REVISIÓN",C76)))</formula>
    </cfRule>
    <cfRule type="containsText" dxfId="259" priority="32" operator="containsText" text="EN MODIFICACIÓN">
      <formula>NOT(ISERROR(SEARCH("EN MODIFICACIÓN",C76)))</formula>
    </cfRule>
    <cfRule type="containsText" dxfId="258" priority="31" operator="containsText" text="FALTANTE">
      <formula>NOT(ISERROR(SEARCH("FALTANTE",C76)))</formula>
    </cfRule>
  </conditionalFormatting>
  <conditionalFormatting sqref="C80">
    <cfRule type="containsText" dxfId="257" priority="14" operator="containsText" text="INCOMPLETO">
      <formula>NOT(ISERROR(SEARCH("INCOMPLETO",#REF!)))</formula>
    </cfRule>
    <cfRule type="containsText" dxfId="256" priority="13" operator="containsText" text="EN REVISIÓN">
      <formula>NOT(ISERROR(SEARCH("EN REVISIÓN",C80)))</formula>
    </cfRule>
    <cfRule type="containsText" dxfId="255" priority="12" operator="containsText" text="EN MODIFICACIÓN">
      <formula>NOT(ISERROR(SEARCH("EN MODIFICACIÓN",C80)))</formula>
    </cfRule>
    <cfRule type="containsText" dxfId="254" priority="11" operator="containsText" text="FALTANTE">
      <formula>NOT(ISERROR(SEARCH("FALTANTE",C80)))</formula>
    </cfRule>
  </conditionalFormatting>
  <conditionalFormatting sqref="C94">
    <cfRule type="containsText" dxfId="253" priority="27" operator="containsText" text="EN MODIFICACIÓN">
      <formula>NOT(ISERROR(SEARCH("EN MODIFICACIÓN",C94)))</formula>
    </cfRule>
    <cfRule type="containsText" dxfId="252" priority="26" operator="containsText" text="FALTANTE">
      <formula>NOT(ISERROR(SEARCH("FALTANTE",C94)))</formula>
    </cfRule>
    <cfRule type="containsText" dxfId="251" priority="29" operator="containsText" text="INCOMPLETO">
      <formula>NOT(ISERROR(SEARCH("INCOMPLETO",#REF!)))</formula>
    </cfRule>
    <cfRule type="containsText" dxfId="250" priority="28" operator="containsText" text="EN REVISIÓN">
      <formula>NOT(ISERROR(SEARCH("EN REVISIÓN",C94)))</formula>
    </cfRule>
  </conditionalFormatting>
  <conditionalFormatting sqref="C96">
    <cfRule type="containsText" dxfId="249" priority="24" operator="containsText" text="INCOMPLETO">
      <formula>NOT(ISERROR(SEARCH("INCOMPLETO",#REF!)))</formula>
    </cfRule>
    <cfRule type="containsText" dxfId="248" priority="23" operator="containsText" text="EN REVISIÓN">
      <formula>NOT(ISERROR(SEARCH("EN REVISIÓN",C96)))</formula>
    </cfRule>
    <cfRule type="containsText" dxfId="247" priority="21" operator="containsText" text="FALTANTE">
      <formula>NOT(ISERROR(SEARCH("FALTANTE",C96)))</formula>
    </cfRule>
    <cfRule type="containsText" dxfId="246" priority="22" operator="containsText" text="EN MODIFICACIÓN">
      <formula>NOT(ISERROR(SEARCH("EN MODIFICACIÓN",C96)))</formula>
    </cfRule>
  </conditionalFormatting>
  <conditionalFormatting sqref="C98:C100">
    <cfRule type="containsText" dxfId="245" priority="6" operator="containsText" text="FALTANTE">
      <formula>NOT(ISERROR(SEARCH("FALTANTE",C98)))</formula>
    </cfRule>
    <cfRule type="containsText" dxfId="244" priority="7" operator="containsText" text="EN MODIFICACIÓN">
      <formula>NOT(ISERROR(SEARCH("EN MODIFICACIÓN",C98)))</formula>
    </cfRule>
    <cfRule type="containsText" dxfId="243" priority="8" operator="containsText" text="EN REVISIÓN">
      <formula>NOT(ISERROR(SEARCH("EN REVISIÓN",C98)))</formula>
    </cfRule>
    <cfRule type="containsText" dxfId="242" priority="9" operator="containsText" text="INCOMPLETO">
      <formula>NOT(ISERROR(SEARCH("INCOMPLETO",#REF!)))</formula>
    </cfRule>
  </conditionalFormatting>
  <conditionalFormatting sqref="C105">
    <cfRule type="containsText" dxfId="241" priority="2" operator="containsText" text="EN MODIFICACIÓN">
      <formula>NOT(ISERROR(SEARCH("EN MODIFICACIÓN",C105)))</formula>
    </cfRule>
    <cfRule type="containsText" dxfId="240" priority="3" operator="containsText" text="EN REVISIÓN">
      <formula>NOT(ISERROR(SEARCH("EN REVISIÓN",C105)))</formula>
    </cfRule>
    <cfRule type="containsText" dxfId="239" priority="4" operator="containsText" text="INCOMPLETO">
      <formula>NOT(ISERROR(SEARCH("INCOMPLETO",#REF!)))</formula>
    </cfRule>
    <cfRule type="containsText" dxfId="238" priority="1" operator="containsText" text="FALTANTE">
      <formula>NOT(ISERROR(SEARCH("FALTANTE",C105)))</formula>
    </cfRule>
  </conditionalFormatting>
  <conditionalFormatting sqref="C157">
    <cfRule type="containsText" dxfId="237" priority="373" operator="containsText" text="INCOMPLETO">
      <formula>NOT(ISERROR(SEARCH("INCOMPLETO",C157)))</formula>
    </cfRule>
  </conditionalFormatting>
  <conditionalFormatting sqref="C170">
    <cfRule type="containsText" dxfId="236" priority="352" operator="containsText" text="INCOMPLETO">
      <formula>NOT(ISERROR(SEARCH("INCOMPLETO",C170)))</formula>
    </cfRule>
  </conditionalFormatting>
  <conditionalFormatting sqref="C157:D157">
    <cfRule type="containsText" dxfId="235" priority="368" operator="containsText" text="EN REVISIÓN">
      <formula>NOT(ISERROR(SEARCH("EN REVISIÓN",C157)))</formula>
    </cfRule>
    <cfRule type="containsText" dxfId="234" priority="367" operator="containsText" text="EN MODIFICACIÓN">
      <formula>NOT(ISERROR(SEARCH("EN MODIFICACIÓN",C157)))</formula>
    </cfRule>
    <cfRule type="containsText" dxfId="233" priority="366" operator="containsText" text="FALTANTE">
      <formula>NOT(ISERROR(SEARCH("FALTANTE",C157)))</formula>
    </cfRule>
  </conditionalFormatting>
  <conditionalFormatting sqref="C170:D170">
    <cfRule type="containsText" dxfId="232" priority="345" operator="containsText" text="FALTANTE">
      <formula>NOT(ISERROR(SEARCH("FALTANTE",C170)))</formula>
    </cfRule>
    <cfRule type="containsText" dxfId="231" priority="346" operator="containsText" text="EN MODIFICACIÓN">
      <formula>NOT(ISERROR(SEARCH("EN MODIFICACIÓN",C170)))</formula>
    </cfRule>
    <cfRule type="containsText" dxfId="230" priority="347" operator="containsText" text="EN REVISIÓN">
      <formula>NOT(ISERROR(SEARCH("EN REVISIÓN",C170)))</formula>
    </cfRule>
  </conditionalFormatting>
  <conditionalFormatting sqref="C111:F123 D18:D22 D24:D30 D33 C43:F48 C51:F73 D5:D7 C76:F76 C77:E77 C78:F107 C126:F140 C143:F155 C158:F167 C171:F176 A179:D180 D182 C183:D183 A184:F1048576 A43:A49 A111:A124 A143:A156 A181:C181 A182:A183">
    <cfRule type="containsText" dxfId="229" priority="796" operator="containsText" text="FALTANTE">
      <formula>NOT(ISERROR(SEARCH("FALTANTE",A5)))</formula>
    </cfRule>
  </conditionalFormatting>
  <conditionalFormatting sqref="C168:F168 A168:A169">
    <cfRule type="containsText" dxfId="228" priority="314" operator="containsText" text="EN MODIFICACIÓN">
      <formula>NOT(ISERROR(SEARCH("EN MODIFICACIÓN",A168)))</formula>
    </cfRule>
    <cfRule type="containsText" dxfId="227" priority="315" operator="containsText" text="EN REVISIÓN">
      <formula>NOT(ISERROR(SEARCH("EN REVISIÓN",A168)))</formula>
    </cfRule>
    <cfRule type="containsText" dxfId="226" priority="317" operator="containsText" text="INCOMPLETO">
      <formula>NOT(ISERROR(SEARCH("INCOMPLETO",A168)))</formula>
    </cfRule>
    <cfRule type="containsText" dxfId="225" priority="313" operator="containsText" text="FALTANTE">
      <formula>NOT(ISERROR(SEARCH("FALTANTE",A168)))</formula>
    </cfRule>
  </conditionalFormatting>
  <conditionalFormatting sqref="C177:F177 A177:A178">
    <cfRule type="containsText" dxfId="224" priority="299" operator="containsText" text="INCOMPLETO">
      <formula>NOT(ISERROR(SEARCH("INCOMPLETO",A177)))</formula>
    </cfRule>
    <cfRule type="containsText" dxfId="223" priority="297" operator="containsText" text="EN REVISIÓN">
      <formula>NOT(ISERROR(SEARCH("EN REVISIÓN",A177)))</formula>
    </cfRule>
    <cfRule type="containsText" dxfId="222" priority="296" operator="containsText" text="EN MODIFICACIÓN">
      <formula>NOT(ISERROR(SEARCH("EN MODIFICACIÓN",A177)))</formula>
    </cfRule>
    <cfRule type="containsText" dxfId="221" priority="295" operator="containsText" text="FALTANTE">
      <formula>NOT(ISERROR(SEARCH("FALTANTE",A177)))</formula>
    </cfRule>
  </conditionalFormatting>
  <conditionalFormatting sqref="D2:D3 D5:D22 D24:D30 D33:D40 D43:D48 D51:D73 D76:D107 D111:D123 D126:D140 D143:D155 D158:D167 D171:D176 D179:D180 D182:D1048576">
    <cfRule type="containsText" dxfId="220" priority="510" operator="containsText" text="COMPLETO">
      <formula>NOT(ISERROR(SEARCH("COMPLETO",D2)))</formula>
    </cfRule>
    <cfRule type="containsText" dxfId="219" priority="509" operator="containsText" text="INCOMPLETO">
      <formula>NOT(ISERROR(SEARCH("INCOMPLETO",D2)))</formula>
    </cfRule>
  </conditionalFormatting>
  <conditionalFormatting sqref="D2:D3">
    <cfRule type="containsText" dxfId="218" priority="605" operator="containsText" text="NO APLICA">
      <formula>NOT(ISERROR(SEARCH("NO APLICA",D2)))</formula>
    </cfRule>
    <cfRule type="containsText" dxfId="217" priority="606" operator="containsText" text="INCOMPLETO">
      <formula>NOT(ISERROR(SEARCH("INCOMPLETO",D2)))</formula>
    </cfRule>
    <cfRule type="containsText" dxfId="216" priority="607" operator="containsText" text="COMPLETO">
      <formula>NOT(ISERROR(SEARCH("COMPLETO",D2)))</formula>
    </cfRule>
  </conditionalFormatting>
  <conditionalFormatting sqref="D2:D4">
    <cfRule type="containsText" dxfId="215" priority="328" operator="containsText" text="FALTANTE">
      <formula>NOT(ISERROR(SEARCH("FALTANTE",D2)))</formula>
    </cfRule>
    <cfRule type="containsText" dxfId="214" priority="325" operator="containsText" text="NO APLICA">
      <formula>NOT(ISERROR(SEARCH("NO APLICA",D2)))</formula>
    </cfRule>
    <cfRule type="containsText" dxfId="213" priority="330" operator="containsText" text="EN REVISIÓN">
      <formula>NOT(ISERROR(SEARCH("EN REVISIÓN",D2)))</formula>
    </cfRule>
  </conditionalFormatting>
  <conditionalFormatting sqref="D3">
    <cfRule type="containsText" dxfId="212" priority="610" operator="containsText" text="EN REVISIÓN">
      <formula>NOT(ISERROR(SEARCH("EN REVISIÓN",D3)))</formula>
    </cfRule>
    <cfRule type="containsText" dxfId="211" priority="609" operator="containsText" text="EN MODIFICACIÓN">
      <formula>NOT(ISERROR(SEARCH("EN MODIFICACIÓN",D3)))</formula>
    </cfRule>
    <cfRule type="containsText" dxfId="210" priority="608" operator="containsText" text="FALTANTE">
      <formula>NOT(ISERROR(SEARCH("FALTANTE",D3)))</formula>
    </cfRule>
  </conditionalFormatting>
  <conditionalFormatting sqref="D4">
    <cfRule type="containsText" dxfId="209" priority="329" operator="containsText" text="EN MODIFICACIÓN">
      <formula>NOT(ISERROR(SEARCH("EN MODIFICACIÓN",D4)))</formula>
    </cfRule>
    <cfRule type="containsText" dxfId="208" priority="318" operator="containsText" text="NO APLICA">
      <formula>NOT(ISERROR(SEARCH("NO APLICA",D4)))</formula>
    </cfRule>
    <cfRule type="containsText" dxfId="207" priority="319" operator="containsText" text="FALTANTE">
      <formula>NOT(ISERROR(SEARCH("FALTANTE",D4)))</formula>
    </cfRule>
    <cfRule type="containsText" dxfId="206" priority="320" operator="containsText" text="EN REVISIÓN">
      <formula>NOT(ISERROR(SEARCH("EN REVISIÓN",D4)))</formula>
    </cfRule>
    <cfRule type="containsText" dxfId="205" priority="321" operator="containsText" text="EN MODIFICACIÓN">
      <formula>NOT(ISERROR(SEARCH("EN MODIFICACIÓN",D4)))</formula>
    </cfRule>
    <cfRule type="containsText" dxfId="204" priority="322" operator="containsText" text="INCOMPLETO">
      <formula>NOT(ISERROR(SEARCH("INCOMPLETO",D4)))</formula>
    </cfRule>
    <cfRule type="containsText" dxfId="203" priority="323" operator="containsText" text="COMPLETO">
      <formula>NOT(ISERROR(SEARCH("COMPLETO",D4)))</formula>
    </cfRule>
    <cfRule type="containsText" dxfId="202" priority="327" operator="containsText" text="COMPLETO">
      <formula>NOT(ISERROR(SEARCH("COMPLETO",D4)))</formula>
    </cfRule>
    <cfRule type="containsText" dxfId="201" priority="331" operator="containsText" text="INCOMPLETO">
      <formula>NOT(ISERROR(SEARCH("INCOMPLETO",D4)))</formula>
    </cfRule>
    <cfRule type="containsText" dxfId="200" priority="326" operator="containsText" text="INCOMPLETO">
      <formula>NOT(ISERROR(SEARCH("INCOMPLETO",D4)))</formula>
    </cfRule>
  </conditionalFormatting>
  <conditionalFormatting sqref="D5 A46:A49 C47:F48 C51:F73 C76:F76 C77:E77 C78:F107 C111:F123 A111:A124 C126:F140 C143:F155 A143:A156 C158:F167 C171:F176 A179:D180 A181:C181 D182 A182:A183 C183:D183 A184:F1048576 A65:A74 A108:A109 A157:B157 A158:A167 A170:B170 A171:A176 A50:C50 A75:C75">
    <cfRule type="containsText" dxfId="199" priority="1042" operator="containsText" text="INCOMPLETO">
      <formula>NOT(ISERROR(SEARCH("INCOMPLETO",A5)))</formula>
    </cfRule>
  </conditionalFormatting>
  <conditionalFormatting sqref="D5:D7 D9:D15 D17:D22 D24:D30 D33:D40 D43:D48 D51:D73 D76:D107 D111:D123 D126:D140 D143:D155 D158:D167 D171:D176 D179:D180 D182:D1048576">
    <cfRule type="containsText" dxfId="198" priority="663" operator="containsText" text="COMPLETO">
      <formula>NOT(ISERROR(SEARCH("COMPLETO",D5)))</formula>
    </cfRule>
    <cfRule type="containsText" dxfId="197" priority="662" operator="containsText" text="INCOMPLETO">
      <formula>NOT(ISERROR(SEARCH("INCOMPLETO",D5)))</formula>
    </cfRule>
  </conditionalFormatting>
  <conditionalFormatting sqref="D5:D7 D18:D22 D24:D30 D33 C43:F48 A43:A49 C51:F73 C76:F76 C77:E77 C78:F107 C111:F123 A111:A124 C126:F140 C143:F155 A143:A156 C158:F167 C171:F176 A179:D180 A181:C181 D182 A182:A183 C183:D183 A184:F1048576">
    <cfRule type="containsText" dxfId="196" priority="797" operator="containsText" text="EN MODIFICACIÓN">
      <formula>NOT(ISERROR(SEARCH("EN MODIFICACIÓN",A5)))</formula>
    </cfRule>
    <cfRule type="containsText" dxfId="195" priority="798" operator="containsText" text="EN REVISIÓN">
      <formula>NOT(ISERROR(SEARCH("EN REVISIÓN",A5)))</formula>
    </cfRule>
  </conditionalFormatting>
  <conditionalFormatting sqref="D5:D22 D24:D30 D33:D40 D43:D48 D51:D73 D76:D107 D111:D123 D126:D140 D143:D155 D158:D167 D171:D176 D179:D180 D182:D1048576 D2:D3">
    <cfRule type="containsText" dxfId="194" priority="508" operator="containsText" text="EN MODIFICACIÓN">
      <formula>NOT(ISERROR(SEARCH("EN MODIFICACIÓN",D2)))</formula>
    </cfRule>
  </conditionalFormatting>
  <conditionalFormatting sqref="D5:D22 D24:D30 D33:D40 D179:D180 D182:D1048576">
    <cfRule type="containsText" dxfId="193" priority="505" operator="containsText" text="NO APLICA">
      <formula>NOT(ISERROR(SEARCH("NO APLICA",D5)))</formula>
    </cfRule>
  </conditionalFormatting>
  <conditionalFormatting sqref="D5:D22 D24:D30 D43:D48 D51:D73 D76:D107 D111:D123 D126:D140 D143:D155 D158:D167 D171:D176 D179:D180 D182:D1048576 D33:D40">
    <cfRule type="containsText" dxfId="192" priority="507" operator="containsText" text="EN REVISIÓN">
      <formula>NOT(ISERROR(SEARCH("EN REVISIÓN",D5)))</formula>
    </cfRule>
  </conditionalFormatting>
  <conditionalFormatting sqref="D5:D22 D24:D30 D179:D180 D182:D1048576 D43:D48 D51:D73 D76:D107 D111:D123 D126:D140 D143:D155 D158:D167 D171:D176">
    <cfRule type="containsText" dxfId="191" priority="506" operator="containsText" text="FALTANTE">
      <formula>NOT(ISERROR(SEARCH("FALTANTE",D5)))</formula>
    </cfRule>
  </conditionalFormatting>
  <conditionalFormatting sqref="D6:D7 A17:F22 A24:F30 A33:F40 C43:F46 A9:F15 A1 A2:D2 D2:D3 A8 A16 A23 A31:A32 A3:C7 B51:B73 B76:B107 A51:A65 B43:B48 B111:B123 B126:B140 B143:B155 B158:B167 B171:B176">
    <cfRule type="containsText" dxfId="190" priority="801" operator="containsText" text="INCOMPLETO">
      <formula>NOT(ISERROR(SEARCH("INCOMPLETO",#REF!)))</formula>
    </cfRule>
  </conditionalFormatting>
  <conditionalFormatting sqref="D9:D15">
    <cfRule type="containsText" dxfId="189" priority="717" operator="containsText" text="EN MODIFICACIÓN">
      <formula>NOT(ISERROR(SEARCH("EN MODIFICACIÓN",D9)))</formula>
    </cfRule>
    <cfRule type="containsText" dxfId="188" priority="716" operator="containsText" text="FALTANTE">
      <formula>NOT(ISERROR(SEARCH("FALTANTE",D9)))</formula>
    </cfRule>
    <cfRule type="containsText" dxfId="187" priority="718" operator="containsText" text="EN REVISIÓN">
      <formula>NOT(ISERROR(SEARCH("EN REVISIÓN",D9)))</formula>
    </cfRule>
  </conditionalFormatting>
  <conditionalFormatting sqref="D17">
    <cfRule type="containsText" dxfId="186" priority="496" operator="containsText" text="EN REVISIÓN">
      <formula>NOT(ISERROR(SEARCH("EN REVISIÓN",D17)))</formula>
    </cfRule>
    <cfRule type="containsText" dxfId="185" priority="495" operator="containsText" text="EN MODIFICACIÓN">
      <formula>NOT(ISERROR(SEARCH("EN MODIFICACIÓN",D17)))</formula>
    </cfRule>
    <cfRule type="containsText" dxfId="184" priority="494" operator="containsText" text="FALTANTE">
      <formula>NOT(ISERROR(SEARCH("FALTANTE",D17)))</formula>
    </cfRule>
  </conditionalFormatting>
  <conditionalFormatting sqref="D17:D22 D24:D30">
    <cfRule type="containsText" dxfId="183" priority="670" operator="containsText" text="EN REVISIÓN">
      <formula>NOT(ISERROR(SEARCH("EN REVISIÓN",D17)))</formula>
    </cfRule>
    <cfRule type="containsText" dxfId="182" priority="669" operator="containsText" text="EN MODIFICACIÓN">
      <formula>NOT(ISERROR(SEARCH("EN MODIFICACIÓN",D17)))</formula>
    </cfRule>
    <cfRule type="containsText" dxfId="181" priority="668" operator="containsText" text="FALTANTE">
      <formula>NOT(ISERROR(SEARCH("FALTANTE",D17)))</formula>
    </cfRule>
  </conditionalFormatting>
  <conditionalFormatting sqref="D24">
    <cfRule type="containsText" dxfId="180" priority="491" operator="containsText" text="FALTANTE">
      <formula>NOT(ISERROR(SEARCH("FALTANTE",D24)))</formula>
    </cfRule>
    <cfRule type="containsText" dxfId="179" priority="492" operator="containsText" text="EN MODIFICACIÓN">
      <formula>NOT(ISERROR(SEARCH("EN MODIFICACIÓN",D24)))</formula>
    </cfRule>
    <cfRule type="containsText" dxfId="178" priority="493" operator="containsText" text="EN REVISIÓN">
      <formula>NOT(ISERROR(SEARCH("EN REVISIÓN",D24)))</formula>
    </cfRule>
  </conditionalFormatting>
  <conditionalFormatting sqref="D33">
    <cfRule type="containsText" dxfId="177" priority="489" operator="containsText" text="EN MODIFICACIÓN">
      <formula>NOT(ISERROR(SEARCH("EN MODIFICACIÓN",D33)))</formula>
    </cfRule>
    <cfRule type="containsText" dxfId="176" priority="488" operator="containsText" text="FALTANTE">
      <formula>NOT(ISERROR(SEARCH("FALTANTE",D33)))</formula>
    </cfRule>
    <cfRule type="containsText" dxfId="175" priority="490" operator="containsText" text="EN REVISIÓN">
      <formula>NOT(ISERROR(SEARCH("EN REVISIÓN",D33)))</formula>
    </cfRule>
  </conditionalFormatting>
  <conditionalFormatting sqref="D33:D40 D5:D7 D9:D15 D17:D22 D24:D30 D43:D48 D51:D73 D76:D107 D111:D123 D126:D140 D143:D155 D158:D167 D171:D176 D179:D180 D182:D1048576">
    <cfRule type="containsText" dxfId="174" priority="661" operator="containsText" text="NO APLICA">
      <formula>NOT(ISERROR(SEARCH("NO APLICA",D5)))</formula>
    </cfRule>
  </conditionalFormatting>
  <conditionalFormatting sqref="D34:D40 A51:A74 A106:A109">
    <cfRule type="containsText" dxfId="173" priority="594" operator="containsText" text="EN MODIFICACIÓN">
      <formula>NOT(ISERROR(SEARCH("EN MODIFICACIÓN",A34)))</formula>
    </cfRule>
    <cfRule type="containsText" dxfId="172" priority="593" operator="containsText" text="FALTANTE">
      <formula>NOT(ISERROR(SEARCH("FALTANTE",A34)))</formula>
    </cfRule>
    <cfRule type="containsText" dxfId="171" priority="595" operator="containsText" text="EN REVISIÓN">
      <formula>NOT(ISERROR(SEARCH("EN REVISIÓN",A34)))</formula>
    </cfRule>
  </conditionalFormatting>
  <conditionalFormatting sqref="D42">
    <cfRule type="containsText" dxfId="170" priority="472" operator="containsText" text="FALTANTE">
      <formula>NOT(ISERROR(SEARCH("FALTANTE",D42)))</formula>
    </cfRule>
    <cfRule type="containsText" dxfId="169" priority="471" operator="containsText" text="NO APLICA">
      <formula>NOT(ISERROR(SEARCH("NO APLICA",D42)))</formula>
    </cfRule>
    <cfRule type="containsText" dxfId="168" priority="479" operator="containsText" text="INCOMPLETO">
      <formula>NOT(ISERROR(SEARCH("INCOMPLETO",D42)))</formula>
    </cfRule>
    <cfRule type="containsText" dxfId="167" priority="480" operator="containsText" text="COMPLETO">
      <formula>NOT(ISERROR(SEARCH("COMPLETO",D42)))</formula>
    </cfRule>
    <cfRule type="containsText" dxfId="166" priority="476" operator="containsText" text="COMPLETO">
      <formula>NOT(ISERROR(SEARCH("COMPLETO",D42)))</formula>
    </cfRule>
    <cfRule type="containsText" dxfId="165" priority="473" operator="containsText" text="EN REVISIÓN">
      <formula>NOT(ISERROR(SEARCH("EN REVISIÓN",D42)))</formula>
    </cfRule>
    <cfRule type="containsText" dxfId="164" priority="475" operator="containsText" text="INCOMPLETO">
      <formula>NOT(ISERROR(SEARCH("INCOMPLETO",D42)))</formula>
    </cfRule>
    <cfRule type="containsText" dxfId="163" priority="474" operator="containsText" text="EN MODIFICACIÓN">
      <formula>NOT(ISERROR(SEARCH("EN MODIFICACIÓN",D42)))</formula>
    </cfRule>
  </conditionalFormatting>
  <conditionalFormatting sqref="D42:D48">
    <cfRule type="containsText" dxfId="162" priority="478" operator="containsText" text="NO APLICA">
      <formula>NOT(ISERROR(SEARCH("NO APLICA",D42)))</formula>
    </cfRule>
  </conditionalFormatting>
  <conditionalFormatting sqref="D43:D48">
    <cfRule type="containsText" dxfId="161" priority="692" operator="containsText" text="FALTANTE">
      <formula>NOT(ISERROR(SEARCH("FALTANTE",D43)))</formula>
    </cfRule>
    <cfRule type="containsText" dxfId="160" priority="693" operator="containsText" text="EN MODIFICACIÓN">
      <formula>NOT(ISERROR(SEARCH("EN MODIFICACIÓN",D43)))</formula>
    </cfRule>
    <cfRule type="containsText" dxfId="159" priority="694" operator="containsText" text="EN REVISIÓN">
      <formula>NOT(ISERROR(SEARCH("EN REVISIÓN",D43)))</formula>
    </cfRule>
  </conditionalFormatting>
  <conditionalFormatting sqref="D50">
    <cfRule type="containsText" dxfId="158" priority="459" operator="containsText" text="COMPLETO">
      <formula>NOT(ISERROR(SEARCH("COMPLETO",D50)))</formula>
    </cfRule>
    <cfRule type="containsText" dxfId="157" priority="462" operator="containsText" text="INCOMPLETO">
      <formula>NOT(ISERROR(SEARCH("INCOMPLETO",D50)))</formula>
    </cfRule>
    <cfRule type="containsText" dxfId="156" priority="463" operator="containsText" text="COMPLETO">
      <formula>NOT(ISERROR(SEARCH("COMPLETO",D50)))</formula>
    </cfRule>
    <cfRule type="containsText" dxfId="155" priority="454" operator="containsText" text="NO APLICA">
      <formula>NOT(ISERROR(SEARCH("NO APLICA",D50)))</formula>
    </cfRule>
    <cfRule type="containsText" dxfId="154" priority="455" operator="containsText" text="FALTANTE">
      <formula>NOT(ISERROR(SEARCH("FALTANTE",D50)))</formula>
    </cfRule>
    <cfRule type="containsText" dxfId="153" priority="456" operator="containsText" text="EN REVISIÓN">
      <formula>NOT(ISERROR(SEARCH("EN REVISIÓN",D50)))</formula>
    </cfRule>
    <cfRule type="containsText" dxfId="152" priority="457" operator="containsText" text="EN MODIFICACIÓN">
      <formula>NOT(ISERROR(SEARCH("EN MODIFICACIÓN",D50)))</formula>
    </cfRule>
    <cfRule type="containsText" dxfId="151" priority="458" operator="containsText" text="INCOMPLETO">
      <formula>NOT(ISERROR(SEARCH("INCOMPLETO",D50)))</formula>
    </cfRule>
  </conditionalFormatting>
  <conditionalFormatting sqref="D50:D73">
    <cfRule type="containsText" dxfId="150" priority="461" operator="containsText" text="NO APLICA">
      <formula>NOT(ISERROR(SEARCH("NO APLICA",D50)))</formula>
    </cfRule>
  </conditionalFormatting>
  <conditionalFormatting sqref="D51">
    <cfRule type="containsText" dxfId="149" priority="689" operator="containsText" text="EN MODIFICACIÓN">
      <formula>NOT(ISERROR(SEARCH("EN MODIFICACIÓN",D51)))</formula>
    </cfRule>
    <cfRule type="containsText" dxfId="148" priority="688" operator="containsText" text="FALTANTE">
      <formula>NOT(ISERROR(SEARCH("FALTANTE",D51)))</formula>
    </cfRule>
    <cfRule type="containsText" dxfId="147" priority="690" operator="containsText" text="EN REVISIÓN">
      <formula>NOT(ISERROR(SEARCH("EN REVISIÓN",D51)))</formula>
    </cfRule>
  </conditionalFormatting>
  <conditionalFormatting sqref="D75">
    <cfRule type="containsText" dxfId="146" priority="446" operator="containsText" text="COMPLETO">
      <formula>NOT(ISERROR(SEARCH("COMPLETO",D75)))</formula>
    </cfRule>
    <cfRule type="containsText" dxfId="145" priority="438" operator="containsText" text="FALTANTE">
      <formula>NOT(ISERROR(SEARCH("FALTANTE",D75)))</formula>
    </cfRule>
    <cfRule type="containsText" dxfId="144" priority="439" operator="containsText" text="EN REVISIÓN">
      <formula>NOT(ISERROR(SEARCH("EN REVISIÓN",D75)))</formula>
    </cfRule>
    <cfRule type="containsText" dxfId="143" priority="440" operator="containsText" text="EN MODIFICACIÓN">
      <formula>NOT(ISERROR(SEARCH("EN MODIFICACIÓN",D75)))</formula>
    </cfRule>
    <cfRule type="containsText" dxfId="142" priority="441" operator="containsText" text="INCOMPLETO">
      <formula>NOT(ISERROR(SEARCH("INCOMPLETO",D75)))</formula>
    </cfRule>
    <cfRule type="containsText" dxfId="141" priority="442" operator="containsText" text="COMPLETO">
      <formula>NOT(ISERROR(SEARCH("COMPLETO",D75)))</formula>
    </cfRule>
    <cfRule type="containsText" dxfId="140" priority="445" operator="containsText" text="INCOMPLETO">
      <formula>NOT(ISERROR(SEARCH("INCOMPLETO",D75)))</formula>
    </cfRule>
  </conditionalFormatting>
  <conditionalFormatting sqref="D75:D84">
    <cfRule type="containsText" dxfId="139" priority="218" operator="containsText" text="NO APLICA">
      <formula>NOT(ISERROR(SEARCH("NO APLICA",D75)))</formula>
    </cfRule>
  </conditionalFormatting>
  <conditionalFormatting sqref="D75:D107">
    <cfRule type="containsText" dxfId="138" priority="444" operator="containsText" text="NO APLICA">
      <formula>NOT(ISERROR(SEARCH("NO APLICA",D75)))</formula>
    </cfRule>
  </conditionalFormatting>
  <conditionalFormatting sqref="D91">
    <cfRule type="containsText" dxfId="137" priority="212" operator="containsText" text="NO APLICA">
      <formula>NOT(ISERROR(SEARCH("NO APLICA",D91)))</formula>
    </cfRule>
  </conditionalFormatting>
  <conditionalFormatting sqref="D93:D100">
    <cfRule type="containsText" dxfId="136" priority="176" operator="containsText" text="NO APLICA">
      <formula>NOT(ISERROR(SEARCH("NO APLICA",D93)))</formula>
    </cfRule>
  </conditionalFormatting>
  <conditionalFormatting sqref="D105:D106">
    <cfRule type="containsText" dxfId="135" priority="164" operator="containsText" text="NO APLICA">
      <formula>NOT(ISERROR(SEARCH("NO APLICA",D105)))</formula>
    </cfRule>
  </conditionalFormatting>
  <conditionalFormatting sqref="D110">
    <cfRule type="containsText" dxfId="134" priority="416" operator="containsText" text="NO APLICA">
      <formula>NOT(ISERROR(SEARCH("NO APLICA",D110)))</formula>
    </cfRule>
    <cfRule type="containsText" dxfId="133" priority="417" operator="containsText" text="FALTANTE">
      <formula>NOT(ISERROR(SEARCH("FALTANTE",D110)))</formula>
    </cfRule>
    <cfRule type="containsText" dxfId="132" priority="418" operator="containsText" text="EN REVISIÓN">
      <formula>NOT(ISERROR(SEARCH("EN REVISIÓN",D110)))</formula>
    </cfRule>
    <cfRule type="containsText" dxfId="131" priority="424" operator="containsText" text="INCOMPLETO">
      <formula>NOT(ISERROR(SEARCH("INCOMPLETO",D110)))</formula>
    </cfRule>
    <cfRule type="containsText" dxfId="130" priority="425" operator="containsText" text="COMPLETO">
      <formula>NOT(ISERROR(SEARCH("COMPLETO",D110)))</formula>
    </cfRule>
    <cfRule type="containsText" dxfId="129" priority="421" operator="containsText" text="COMPLETO">
      <formula>NOT(ISERROR(SEARCH("COMPLETO",D110)))</formula>
    </cfRule>
    <cfRule type="containsText" dxfId="128" priority="420" operator="containsText" text="INCOMPLETO">
      <formula>NOT(ISERROR(SEARCH("INCOMPLETO",D110)))</formula>
    </cfRule>
    <cfRule type="containsText" dxfId="127" priority="419" operator="containsText" text="EN MODIFICACIÓN">
      <formula>NOT(ISERROR(SEARCH("EN MODIFICACIÓN",D110)))</formula>
    </cfRule>
  </conditionalFormatting>
  <conditionalFormatting sqref="D110:D123">
    <cfRule type="containsText" dxfId="126" priority="423" operator="containsText" text="NO APLICA">
      <formula>NOT(ISERROR(SEARCH("NO APLICA",D110)))</formula>
    </cfRule>
  </conditionalFormatting>
  <conditionalFormatting sqref="D111:D123">
    <cfRule type="containsText" dxfId="125" priority="762" operator="containsText" text="EN REVISIÓN">
      <formula>NOT(ISERROR(SEARCH("EN REVISIÓN",D111)))</formula>
    </cfRule>
    <cfRule type="containsText" dxfId="124" priority="761" operator="containsText" text="EN MODIFICACIÓN">
      <formula>NOT(ISERROR(SEARCH("EN MODIFICACIÓN",D111)))</formula>
    </cfRule>
    <cfRule type="containsText" dxfId="123" priority="760" operator="containsText" text="FALTANTE">
      <formula>NOT(ISERROR(SEARCH("FALTANTE",D111)))</formula>
    </cfRule>
  </conditionalFormatting>
  <conditionalFormatting sqref="D125">
    <cfRule type="containsText" dxfId="122" priority="396" operator="containsText" text="FALTANTE">
      <formula>NOT(ISERROR(SEARCH("FALTANTE",D125)))</formula>
    </cfRule>
    <cfRule type="containsText" dxfId="121" priority="395" operator="containsText" text="NO APLICA">
      <formula>NOT(ISERROR(SEARCH("NO APLICA",D125)))</formula>
    </cfRule>
    <cfRule type="containsText" dxfId="120" priority="404" operator="containsText" text="COMPLETO">
      <formula>NOT(ISERROR(SEARCH("COMPLETO",D125)))</formula>
    </cfRule>
    <cfRule type="containsText" dxfId="119" priority="403" operator="containsText" text="INCOMPLETO">
      <formula>NOT(ISERROR(SEARCH("INCOMPLETO",D125)))</formula>
    </cfRule>
    <cfRule type="containsText" dxfId="118" priority="400" operator="containsText" text="COMPLETO">
      <formula>NOT(ISERROR(SEARCH("COMPLETO",D125)))</formula>
    </cfRule>
    <cfRule type="containsText" dxfId="117" priority="399" operator="containsText" text="INCOMPLETO">
      <formula>NOT(ISERROR(SEARCH("INCOMPLETO",D125)))</formula>
    </cfRule>
    <cfRule type="containsText" dxfId="116" priority="398" operator="containsText" text="EN MODIFICACIÓN">
      <formula>NOT(ISERROR(SEARCH("EN MODIFICACIÓN",D125)))</formula>
    </cfRule>
    <cfRule type="containsText" dxfId="115" priority="397" operator="containsText" text="EN REVISIÓN">
      <formula>NOT(ISERROR(SEARCH("EN REVISIÓN",D125)))</formula>
    </cfRule>
  </conditionalFormatting>
  <conditionalFormatting sqref="D125:D140">
    <cfRule type="containsText" dxfId="114" priority="402" operator="containsText" text="NO APLICA">
      <formula>NOT(ISERROR(SEARCH("NO APLICA",D125)))</formula>
    </cfRule>
  </conditionalFormatting>
  <conditionalFormatting sqref="D142">
    <cfRule type="containsText" dxfId="113" priority="377" operator="containsText" text="EN MODIFICACIÓN">
      <formula>NOT(ISERROR(SEARCH("EN MODIFICACIÓN",D142)))</formula>
    </cfRule>
    <cfRule type="containsText" dxfId="112" priority="378" operator="containsText" text="INCOMPLETO">
      <formula>NOT(ISERROR(SEARCH("INCOMPLETO",D142)))</formula>
    </cfRule>
    <cfRule type="containsText" dxfId="111" priority="379" operator="containsText" text="COMPLETO">
      <formula>NOT(ISERROR(SEARCH("COMPLETO",D142)))</formula>
    </cfRule>
    <cfRule type="containsText" dxfId="110" priority="375" operator="containsText" text="FALTANTE">
      <formula>NOT(ISERROR(SEARCH("FALTANTE",D142)))</formula>
    </cfRule>
    <cfRule type="containsText" dxfId="109" priority="383" operator="containsText" text="COMPLETO">
      <formula>NOT(ISERROR(SEARCH("COMPLETO",D142)))</formula>
    </cfRule>
    <cfRule type="containsText" dxfId="108" priority="382" operator="containsText" text="INCOMPLETO">
      <formula>NOT(ISERROR(SEARCH("INCOMPLETO",D142)))</formula>
    </cfRule>
    <cfRule type="containsText" dxfId="107" priority="376" operator="containsText" text="EN REVISIÓN">
      <formula>NOT(ISERROR(SEARCH("EN REVISIÓN",D142)))</formula>
    </cfRule>
  </conditionalFormatting>
  <conditionalFormatting sqref="D142:D145">
    <cfRule type="containsText" dxfId="106" priority="129" operator="containsText" text="NO APLICA">
      <formula>NOT(ISERROR(SEARCH("NO APLICA",D142)))</formula>
    </cfRule>
  </conditionalFormatting>
  <conditionalFormatting sqref="D142:D155">
    <cfRule type="containsText" dxfId="105" priority="381" operator="containsText" text="NO APLICA">
      <formula>NOT(ISERROR(SEARCH("NO APLICA",D142)))</formula>
    </cfRule>
  </conditionalFormatting>
  <conditionalFormatting sqref="D148:D151">
    <cfRule type="containsText" dxfId="104" priority="122" operator="containsText" text="NO APLICA">
      <formula>NOT(ISERROR(SEARCH("NO APLICA",D148)))</formula>
    </cfRule>
  </conditionalFormatting>
  <conditionalFormatting sqref="D153">
    <cfRule type="containsText" dxfId="103" priority="136" operator="containsText" text="NO APLICA">
      <formula>NOT(ISERROR(SEARCH("NO APLICA",D153)))</formula>
    </cfRule>
  </conditionalFormatting>
  <conditionalFormatting sqref="D157">
    <cfRule type="containsText" dxfId="102" priority="361" operator="containsText" text="INCOMPLETO">
      <formula>NOT(ISERROR(SEARCH("INCOMPLETO",D157)))</formula>
    </cfRule>
    <cfRule type="containsText" dxfId="101" priority="362" operator="containsText" text="COMPLETO">
      <formula>NOT(ISERROR(SEARCH("COMPLETO",D157)))</formula>
    </cfRule>
    <cfRule type="containsText" dxfId="100" priority="353" operator="containsText" text="NO APLICA">
      <formula>NOT(ISERROR(SEARCH("NO APLICA",D157)))</formula>
    </cfRule>
    <cfRule type="containsText" dxfId="99" priority="355" operator="containsText" text="EN REVISIÓN">
      <formula>NOT(ISERROR(SEARCH("EN REVISIÓN",D157)))</formula>
    </cfRule>
    <cfRule type="containsText" dxfId="98" priority="354" operator="containsText" text="FALTANTE">
      <formula>NOT(ISERROR(SEARCH("FALTANTE",D157)))</formula>
    </cfRule>
    <cfRule type="containsText" dxfId="97" priority="358" operator="containsText" text="COMPLETO">
      <formula>NOT(ISERROR(SEARCH("COMPLETO",D157)))</formula>
    </cfRule>
    <cfRule type="containsText" dxfId="96" priority="357" operator="containsText" text="INCOMPLETO">
      <formula>NOT(ISERROR(SEARCH("INCOMPLETO",D157)))</formula>
    </cfRule>
    <cfRule type="containsText" dxfId="95" priority="356" operator="containsText" text="EN MODIFICACIÓN">
      <formula>NOT(ISERROR(SEARCH("EN MODIFICACIÓN",D157)))</formula>
    </cfRule>
  </conditionalFormatting>
  <conditionalFormatting sqref="D157:D167">
    <cfRule type="containsText" dxfId="94" priority="360" operator="containsText" text="NO APLICA">
      <formula>NOT(ISERROR(SEARCH("NO APLICA",D157)))</formula>
    </cfRule>
  </conditionalFormatting>
  <conditionalFormatting sqref="D168">
    <cfRule type="containsText" dxfId="93" priority="302" operator="containsText" text="EN REVISIÓN">
      <formula>NOT(ISERROR(SEARCH("EN REVISIÓN",D168)))</formula>
    </cfRule>
    <cfRule type="containsText" dxfId="92" priority="301" operator="containsText" text="FALTANTE">
      <formula>NOT(ISERROR(SEARCH("FALTANTE",D168)))</formula>
    </cfRule>
    <cfRule type="containsText" dxfId="91" priority="300" operator="containsText" text="NO APLICA">
      <formula>NOT(ISERROR(SEARCH("NO APLICA",D168)))</formula>
    </cfRule>
    <cfRule type="containsText" dxfId="90" priority="303" operator="containsText" text="EN MODIFICACIÓN">
      <formula>NOT(ISERROR(SEARCH("EN MODIFICACIÓN",D168)))</formula>
    </cfRule>
    <cfRule type="containsText" dxfId="89" priority="305" operator="containsText" text="COMPLETO">
      <formula>NOT(ISERROR(SEARCH("COMPLETO",D168)))</formula>
    </cfRule>
    <cfRule type="containsText" dxfId="88" priority="304" operator="containsText" text="INCOMPLETO">
      <formula>NOT(ISERROR(SEARCH("INCOMPLETO",D168)))</formula>
    </cfRule>
    <cfRule type="containsText" dxfId="87" priority="310" operator="containsText" text="NO APLICA">
      <formula>NOT(ISERROR(SEARCH("NO APLICA",D168)))</formula>
    </cfRule>
    <cfRule type="containsText" dxfId="86" priority="311" operator="containsText" text="INCOMPLETO">
      <formula>NOT(ISERROR(SEARCH("INCOMPLETO",D168)))</formula>
    </cfRule>
    <cfRule type="containsText" dxfId="85" priority="312" operator="containsText" text="COMPLETO">
      <formula>NOT(ISERROR(SEARCH("COMPLETO",D168)))</formula>
    </cfRule>
  </conditionalFormatting>
  <conditionalFormatting sqref="D170">
    <cfRule type="containsText" dxfId="84" priority="341" operator="containsText" text="COMPLETO">
      <formula>NOT(ISERROR(SEARCH("COMPLETO",D170)))</formula>
    </cfRule>
    <cfRule type="containsText" dxfId="83" priority="337" operator="containsText" text="COMPLETO">
      <formula>NOT(ISERROR(SEARCH("COMPLETO",D170)))</formula>
    </cfRule>
    <cfRule type="containsText" dxfId="82" priority="336" operator="containsText" text="INCOMPLETO">
      <formula>NOT(ISERROR(SEARCH("INCOMPLETO",D170)))</formula>
    </cfRule>
    <cfRule type="containsText" dxfId="81" priority="335" operator="containsText" text="EN MODIFICACIÓN">
      <formula>NOT(ISERROR(SEARCH("EN MODIFICACIÓN",D170)))</formula>
    </cfRule>
    <cfRule type="containsText" dxfId="80" priority="334" operator="containsText" text="EN REVISIÓN">
      <formula>NOT(ISERROR(SEARCH("EN REVISIÓN",D170)))</formula>
    </cfRule>
    <cfRule type="containsText" dxfId="79" priority="332" operator="containsText" text="NO APLICA">
      <formula>NOT(ISERROR(SEARCH("NO APLICA",D170)))</formula>
    </cfRule>
    <cfRule type="containsText" dxfId="78" priority="333" operator="containsText" text="FALTANTE">
      <formula>NOT(ISERROR(SEARCH("FALTANTE",D170)))</formula>
    </cfRule>
    <cfRule type="containsText" dxfId="77" priority="340" operator="containsText" text="INCOMPLETO">
      <formula>NOT(ISERROR(SEARCH("INCOMPLETO",D170)))</formula>
    </cfRule>
  </conditionalFormatting>
  <conditionalFormatting sqref="D170:D176">
    <cfRule type="containsText" dxfId="76" priority="339" operator="containsText" text="NO APLICA">
      <formula>NOT(ISERROR(SEARCH("NO APLICA",D170)))</formula>
    </cfRule>
  </conditionalFormatting>
  <conditionalFormatting sqref="D177">
    <cfRule type="containsText" dxfId="75" priority="285" operator="containsText" text="EN MODIFICACIÓN">
      <formula>NOT(ISERROR(SEARCH("EN MODIFICACIÓN",D177)))</formula>
    </cfRule>
    <cfRule type="containsText" dxfId="74" priority="284" operator="containsText" text="EN REVISIÓN">
      <formula>NOT(ISERROR(SEARCH("EN REVISIÓN",D177)))</formula>
    </cfRule>
    <cfRule type="containsText" dxfId="73" priority="283" operator="containsText" text="FALTANTE">
      <formula>NOT(ISERROR(SEARCH("FALTANTE",D177)))</formula>
    </cfRule>
    <cfRule type="containsText" dxfId="72" priority="282" operator="containsText" text="NO APLICA">
      <formula>NOT(ISERROR(SEARCH("NO APLICA",D177)))</formula>
    </cfRule>
    <cfRule type="containsText" dxfId="71" priority="286" operator="containsText" text="INCOMPLETO">
      <formula>NOT(ISERROR(SEARCH("INCOMPLETO",D177)))</formula>
    </cfRule>
    <cfRule type="containsText" dxfId="70" priority="287" operator="containsText" text="COMPLETO">
      <formula>NOT(ISERROR(SEARCH("COMPLETO",D177)))</formula>
    </cfRule>
    <cfRule type="containsText" dxfId="69" priority="292" operator="containsText" text="NO APLICA">
      <formula>NOT(ISERROR(SEARCH("NO APLICA",D177)))</formula>
    </cfRule>
    <cfRule type="containsText" dxfId="68" priority="294" operator="containsText" text="COMPLETO">
      <formula>NOT(ISERROR(SEARCH("COMPLETO",D177)))</formula>
    </cfRule>
    <cfRule type="containsText" dxfId="67" priority="293" operator="containsText" text="INCOMPLETO">
      <formula>NOT(ISERROR(SEARCH("INCOMPLETO",D177)))</formula>
    </cfRule>
  </conditionalFormatting>
  <conditionalFormatting sqref="D42:F42">
    <cfRule type="containsText" dxfId="66" priority="481" operator="containsText" text="FALTANTE">
      <formula>NOT(ISERROR(SEARCH("FALTANTE",D42)))</formula>
    </cfRule>
    <cfRule type="containsText" dxfId="65" priority="482" operator="containsText" text="EN MODIFICACIÓN">
      <formula>NOT(ISERROR(SEARCH("EN MODIFICACIÓN",D42)))</formula>
    </cfRule>
    <cfRule type="containsText" dxfId="64" priority="483" operator="containsText" text="EN REVISIÓN">
      <formula>NOT(ISERROR(SEARCH("EN REVISIÓN",D42)))</formula>
    </cfRule>
  </conditionalFormatting>
  <conditionalFormatting sqref="D50:F50">
    <cfRule type="containsText" dxfId="63" priority="464" operator="containsText" text="FALTANTE">
      <formula>NOT(ISERROR(SEARCH("FALTANTE",D50)))</formula>
    </cfRule>
    <cfRule type="containsText" dxfId="62" priority="465" operator="containsText" text="EN MODIFICACIÓN">
      <formula>NOT(ISERROR(SEARCH("EN MODIFICACIÓN",D50)))</formula>
    </cfRule>
    <cfRule type="containsText" dxfId="61" priority="470" operator="containsText" text="INCOMPLETO">
      <formula>NOT(ISERROR(SEARCH("INCOMPLETO",#REF!)))</formula>
    </cfRule>
    <cfRule type="containsText" dxfId="60" priority="466" operator="containsText" text="EN REVISIÓN">
      <formula>NOT(ISERROR(SEARCH("EN REVISIÓN",D50)))</formula>
    </cfRule>
  </conditionalFormatting>
  <conditionalFormatting sqref="D75:F75">
    <cfRule type="containsText" dxfId="59" priority="453" operator="containsText" text="INCOMPLETO">
      <formula>NOT(ISERROR(SEARCH("INCOMPLETO",#REF!)))</formula>
    </cfRule>
    <cfRule type="containsText" dxfId="58" priority="449" operator="containsText" text="EN REVISIÓN">
      <formula>NOT(ISERROR(SEARCH("EN REVISIÓN",D75)))</formula>
    </cfRule>
    <cfRule type="containsText" dxfId="57" priority="448" operator="containsText" text="EN MODIFICACIÓN">
      <formula>NOT(ISERROR(SEARCH("EN MODIFICACIÓN",D75)))</formula>
    </cfRule>
    <cfRule type="containsText" dxfId="56" priority="447" operator="containsText" text="FALTANTE">
      <formula>NOT(ISERROR(SEARCH("FALTANTE",D75)))</formula>
    </cfRule>
  </conditionalFormatting>
  <conditionalFormatting sqref="D110:F110">
    <cfRule type="containsText" dxfId="55" priority="426" operator="containsText" text="FALTANTE">
      <formula>NOT(ISERROR(SEARCH("FALTANTE",D110)))</formula>
    </cfRule>
    <cfRule type="containsText" dxfId="54" priority="432" operator="containsText" text="INCOMPLETO">
      <formula>NOT(ISERROR(SEARCH("INCOMPLETO",#REF!)))</formula>
    </cfRule>
    <cfRule type="containsText" dxfId="53" priority="428" operator="containsText" text="EN REVISIÓN">
      <formula>NOT(ISERROR(SEARCH("EN REVISIÓN",D110)))</formula>
    </cfRule>
    <cfRule type="containsText" dxfId="52" priority="427" operator="containsText" text="EN MODIFICACIÓN">
      <formula>NOT(ISERROR(SEARCH("EN MODIFICACIÓN",D110)))</formula>
    </cfRule>
  </conditionalFormatting>
  <conditionalFormatting sqref="D125:F125">
    <cfRule type="containsText" dxfId="51" priority="405" operator="containsText" text="FALTANTE">
      <formula>NOT(ISERROR(SEARCH("FALTANTE",D125)))</formula>
    </cfRule>
    <cfRule type="containsText" dxfId="50" priority="406" operator="containsText" text="EN MODIFICACIÓN">
      <formula>NOT(ISERROR(SEARCH("EN MODIFICACIÓN",D125)))</formula>
    </cfRule>
    <cfRule type="containsText" dxfId="49" priority="407" operator="containsText" text="EN REVISIÓN">
      <formula>NOT(ISERROR(SEARCH("EN REVISIÓN",D125)))</formula>
    </cfRule>
    <cfRule type="containsText" dxfId="48" priority="411" operator="containsText" text="INCOMPLETO">
      <formula>NOT(ISERROR(SEARCH("INCOMPLETO",#REF!)))</formula>
    </cfRule>
  </conditionalFormatting>
  <conditionalFormatting sqref="D142:F142">
    <cfRule type="containsText" dxfId="47" priority="385" operator="containsText" text="EN MODIFICACIÓN">
      <formula>NOT(ISERROR(SEARCH("EN MODIFICACIÓN",D142)))</formula>
    </cfRule>
    <cfRule type="containsText" dxfId="46" priority="386" operator="containsText" text="EN REVISIÓN">
      <formula>NOT(ISERROR(SEARCH("EN REVISIÓN",D142)))</formula>
    </cfRule>
    <cfRule type="containsText" dxfId="45" priority="390" operator="containsText" text="INCOMPLETO">
      <formula>NOT(ISERROR(SEARCH("INCOMPLETO",#REF!)))</formula>
    </cfRule>
    <cfRule type="containsText" dxfId="44" priority="384" operator="containsText" text="FALTANTE">
      <formula>NOT(ISERROR(SEARCH("FALTANTE",D142)))</formula>
    </cfRule>
  </conditionalFormatting>
  <conditionalFormatting sqref="D157:F157">
    <cfRule type="containsText" dxfId="43" priority="364" operator="containsText" text="EN MODIFICACIÓN">
      <formula>NOT(ISERROR(SEARCH("EN MODIFICACIÓN",D157)))</formula>
    </cfRule>
    <cfRule type="containsText" dxfId="42" priority="365" operator="containsText" text="EN REVISIÓN">
      <formula>NOT(ISERROR(SEARCH("EN REVISIÓN",D157)))</formula>
    </cfRule>
    <cfRule type="containsText" dxfId="41" priority="363" operator="containsText" text="FALTANTE">
      <formula>NOT(ISERROR(SEARCH("FALTANTE",D157)))</formula>
    </cfRule>
    <cfRule type="containsText" dxfId="40" priority="369" operator="containsText" text="INCOMPLETO">
      <formula>NOT(ISERROR(SEARCH("INCOMPLETO",#REF!)))</formula>
    </cfRule>
  </conditionalFormatting>
  <conditionalFormatting sqref="D170:F170">
    <cfRule type="containsText" dxfId="39" priority="342" operator="containsText" text="FALTANTE">
      <formula>NOT(ISERROR(SEARCH("FALTANTE",D170)))</formula>
    </cfRule>
    <cfRule type="containsText" dxfId="38" priority="343" operator="containsText" text="EN MODIFICACIÓN">
      <formula>NOT(ISERROR(SEARCH("EN MODIFICACIÓN",D170)))</formula>
    </cfRule>
    <cfRule type="containsText" dxfId="37" priority="344" operator="containsText" text="EN REVISIÓN">
      <formula>NOT(ISERROR(SEARCH("EN REVISIÓN",D170)))</formula>
    </cfRule>
    <cfRule type="containsText" dxfId="36" priority="348" operator="containsText" text="INCOMPLETO">
      <formula>NOT(ISERROR(SEARCH("INCOMPLETO",#REF!)))</formula>
    </cfRule>
  </conditionalFormatting>
  <conditionalFormatting sqref="E34:E39">
    <cfRule type="containsText" dxfId="35" priority="276" operator="containsText" text="FALTANTE">
      <formula>NOT(ISERROR(SEARCH("FALTANTE",E34)))</formula>
    </cfRule>
  </conditionalFormatting>
  <conditionalFormatting sqref="E43:E46">
    <cfRule type="containsText" dxfId="34" priority="271" operator="containsText" text="EN REVISIÓN">
      <formula>NOT(ISERROR(SEARCH("EN REVISIÓN",E43)))</formula>
    </cfRule>
    <cfRule type="containsText" dxfId="33" priority="268" operator="containsText" text="FALTANTE">
      <formula>NOT(ISERROR(SEARCH("FALTANTE",E43)))</formula>
    </cfRule>
    <cfRule type="containsText" dxfId="32" priority="270" operator="containsText" text="EN MODIFICACIÓN">
      <formula>NOT(ISERROR(SEARCH("EN MODIFICACIÓN",E43)))</formula>
    </cfRule>
  </conditionalFormatting>
  <conditionalFormatting sqref="E51:E72">
    <cfRule type="containsText" dxfId="31" priority="223" operator="containsText" text="INCOMPLETO">
      <formula>NOT(ISERROR(SEARCH("INCOMPLETO",#REF!)))</formula>
    </cfRule>
    <cfRule type="containsText" dxfId="30" priority="222" operator="containsText" text="EN REVISIÓN">
      <formula>NOT(ISERROR(SEARCH("EN REVISIÓN",E51)))</formula>
    </cfRule>
    <cfRule type="containsText" dxfId="29" priority="221" operator="containsText" text="EN MODIFICACIÓN">
      <formula>NOT(ISERROR(SEARCH("EN MODIFICACIÓN",E51)))</formula>
    </cfRule>
    <cfRule type="containsText" dxfId="28" priority="219" operator="containsText" text="FALTANTE">
      <formula>NOT(ISERROR(SEARCH("FALTANTE",E51)))</formula>
    </cfRule>
  </conditionalFormatting>
  <conditionalFormatting sqref="E55">
    <cfRule type="containsText" dxfId="27" priority="260" operator="containsText" text="INCOMPLETO">
      <formula>NOT(ISERROR(SEARCH("INCOMPLETO",#REF!)))</formula>
    </cfRule>
    <cfRule type="containsText" dxfId="26" priority="258" operator="containsText" text="EN MODIFICACIÓN">
      <formula>NOT(ISERROR(SEARCH("EN MODIFICACIÓN",E55)))</formula>
    </cfRule>
    <cfRule type="containsText" dxfId="25" priority="256" operator="containsText" text="FALTANTE">
      <formula>NOT(ISERROR(SEARCH("FALTANTE",E55)))</formula>
    </cfRule>
    <cfRule type="containsText" dxfId="24" priority="259" operator="containsText" text="EN REVISIÓN">
      <formula>NOT(ISERROR(SEARCH("EN REVISIÓN",E55)))</formula>
    </cfRule>
  </conditionalFormatting>
  <conditionalFormatting sqref="E76:E84">
    <cfRule type="containsText" dxfId="23" priority="217" operator="containsText" text="INCOMPLETO">
      <formula>NOT(ISERROR(SEARCH("INCOMPLETO",#REF!)))</formula>
    </cfRule>
    <cfRule type="containsText" dxfId="22" priority="216" operator="containsText" text="EN REVISIÓN">
      <formula>NOT(ISERROR(SEARCH("EN REVISIÓN",E76)))</formula>
    </cfRule>
    <cfRule type="containsText" dxfId="21" priority="215" operator="containsText" text="EN MODIFICACIÓN">
      <formula>NOT(ISERROR(SEARCH("EN MODIFICACIÓN",E76)))</formula>
    </cfRule>
    <cfRule type="containsText" dxfId="20" priority="213" operator="containsText" text="FALTANTE">
      <formula>NOT(ISERROR(SEARCH("FALTANTE",E76)))</formula>
    </cfRule>
  </conditionalFormatting>
  <conditionalFormatting sqref="E91">
    <cfRule type="containsText" dxfId="19" priority="211" operator="containsText" text="INCOMPLETO">
      <formula>NOT(ISERROR(SEARCH("INCOMPLETO",#REF!)))</formula>
    </cfRule>
    <cfRule type="containsText" dxfId="18" priority="210" operator="containsText" text="EN REVISIÓN">
      <formula>NOT(ISERROR(SEARCH("EN REVISIÓN",E91)))</formula>
    </cfRule>
    <cfRule type="containsText" dxfId="17" priority="209" operator="containsText" text="EN MODIFICACIÓN">
      <formula>NOT(ISERROR(SEARCH("EN MODIFICACIÓN",E91)))</formula>
    </cfRule>
    <cfRule type="containsText" dxfId="16" priority="207" operator="containsText" text="FALTANTE">
      <formula>NOT(ISERROR(SEARCH("FALTANTE",E91)))</formula>
    </cfRule>
  </conditionalFormatting>
  <conditionalFormatting sqref="E93:E100">
    <cfRule type="containsText" dxfId="15" priority="175" operator="containsText" text="INCOMPLETO">
      <formula>NOT(ISERROR(SEARCH("INCOMPLETO",#REF!)))</formula>
    </cfRule>
    <cfRule type="containsText" dxfId="14" priority="174" operator="containsText" text="EN REVISIÓN">
      <formula>NOT(ISERROR(SEARCH("EN REVISIÓN",E93)))</formula>
    </cfRule>
    <cfRule type="containsText" dxfId="13" priority="173" operator="containsText" text="EN MODIFICACIÓN">
      <formula>NOT(ISERROR(SEARCH("EN MODIFICACIÓN",E93)))</formula>
    </cfRule>
    <cfRule type="containsText" dxfId="12" priority="171" operator="containsText" text="FALTANTE">
      <formula>NOT(ISERROR(SEARCH("FALTANTE",E93)))</formula>
    </cfRule>
  </conditionalFormatting>
  <conditionalFormatting sqref="E105:E106">
    <cfRule type="containsText" dxfId="11" priority="159" operator="containsText" text="FALTANTE">
      <formula>NOT(ISERROR(SEARCH("FALTANTE",E105)))</formula>
    </cfRule>
    <cfRule type="containsText" dxfId="10" priority="163" operator="containsText" text="INCOMPLETO">
      <formula>NOT(ISERROR(SEARCH("INCOMPLETO",#REF!)))</formula>
    </cfRule>
    <cfRule type="containsText" dxfId="9" priority="162" operator="containsText" text="EN REVISIÓN">
      <formula>NOT(ISERROR(SEARCH("EN REVISIÓN",E105)))</formula>
    </cfRule>
    <cfRule type="containsText" dxfId="8" priority="161" operator="containsText" text="EN MODIFICACIÓN">
      <formula>NOT(ISERROR(SEARCH("EN MODIFICACIÓN",E105)))</formula>
    </cfRule>
  </conditionalFormatting>
  <conditionalFormatting sqref="E143:E153">
    <cfRule type="containsText" dxfId="7" priority="107" operator="containsText" text="FALTANTE">
      <formula>NOT(ISERROR(SEARCH("FALTANTE",E143)))</formula>
    </cfRule>
    <cfRule type="containsText" dxfId="6" priority="109" operator="containsText" text="EN MODIFICACIÓN">
      <formula>NOT(ISERROR(SEARCH("EN MODIFICACIÓN",E143)))</formula>
    </cfRule>
    <cfRule type="containsText" dxfId="5" priority="110" operator="containsText" text="EN REVISIÓN">
      <formula>NOT(ISERROR(SEARCH("EN REVISIÓN",E143)))</formula>
    </cfRule>
    <cfRule type="containsText" dxfId="4" priority="111" operator="containsText" text="INCOMPLETO">
      <formula>NOT(ISERROR(SEARCH("INCOMPLETO",#REF!)))</formula>
    </cfRule>
  </conditionalFormatting>
  <conditionalFormatting sqref="F77">
    <cfRule type="containsText" dxfId="3" priority="66" operator="containsText" text="FALTANTE">
      <formula>NOT(ISERROR(SEARCH("FALTANTE",F77)))</formula>
    </cfRule>
    <cfRule type="containsText" dxfId="2" priority="69" operator="containsText" text="INCOMPLETO">
      <formula>NOT(ISERROR(SEARCH("INCOMPLETO",#REF!)))</formula>
    </cfRule>
    <cfRule type="containsText" dxfId="1" priority="67" operator="containsText" text="EN MODIFICACIÓN">
      <formula>NOT(ISERROR(SEARCH("EN MODIFICACIÓN",F77)))</formula>
    </cfRule>
    <cfRule type="containsText" dxfId="0" priority="68" operator="containsText" text="EN REVISIÓN">
      <formula>NOT(ISERROR(SEARCH("EN REVISIÓN",F77)))</formula>
    </cfRule>
  </conditionalFormatting>
  <dataValidations count="1">
    <dataValidation type="list" allowBlank="1" showInputMessage="1" showErrorMessage="1" sqref="D157:D168 D179 D42:D48 D24:D30 D33:D40 D125:D140 D110:D123 D50:D73 D170:D177 D142:D155 D8:D22 D184:D1048576 D75:D107" xr:uid="{00000000-0002-0000-0100-000000000000}">
      <formula1>ESTADO</formula1>
    </dataValidation>
  </dataValidations>
  <printOptions horizontalCentered="1"/>
  <pageMargins left="0.39370078740157483" right="0.39370078740157483" top="0.98425196850393704" bottom="0.51181102362204722" header="0.19685039370078741" footer="0.55118110236220474"/>
  <pageSetup scale="36" orientation="portrait" horizontalDpi="360" verticalDpi="360" r:id="rId1"/>
  <headerFooter>
    <oddHeader>&amp;L&amp;G&amp;C&amp;"Century Gothic,Negrita"&amp;24
Proceso: Gestión de Arquitectura y Control de Planos&amp;"Century Gothic,Normal"
Pliego de Condiciones - Arquitectura&amp;R
&amp;G</oddHeader>
    <oddFooter>&amp;L&amp;"Century Gothic,Normal"&amp;14Este documento es confidencial&amp;C&amp;"Century Gothic,Normal"&amp;14GA-FO-01 (10.2024) V.02&amp;R&amp;"Century Gothic,Normal"&amp;14Página &amp;P de &amp;N</oddFooter>
  </headerFooter>
  <rowBreaks count="4" manualBreakCount="4">
    <brk id="48" max="6" man="1"/>
    <brk id="96" max="6" man="1"/>
    <brk id="140" max="6" man="1"/>
    <brk id="227" min="1" max="13" man="1"/>
  </rowBreaks>
  <legacyDrawingHF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tabColor theme="0" tint="-0.249977111117893"/>
  </sheetPr>
  <dimension ref="A1:I33"/>
  <sheetViews>
    <sheetView view="pageBreakPreview" zoomScaleNormal="100" zoomScaleSheetLayoutView="100" zoomScalePageLayoutView="71" workbookViewId="0">
      <selection activeCell="B3" sqref="B3:E4"/>
    </sheetView>
  </sheetViews>
  <sheetFormatPr baseColWidth="10" defaultColWidth="9.140625" defaultRowHeight="14.25" x14ac:dyDescent="0.3"/>
  <cols>
    <col min="1" max="2" width="9.140625" style="4"/>
    <col min="3" max="3" width="20.7109375" style="4" customWidth="1"/>
    <col min="4" max="4" width="20.7109375" style="27" customWidth="1"/>
    <col min="5" max="5" width="20.7109375" style="4" customWidth="1"/>
    <col min="6" max="6" width="9.140625" style="4"/>
    <col min="7" max="7" width="15.7109375" style="4" customWidth="1"/>
    <col min="8" max="9" width="20.7109375" style="4" customWidth="1"/>
    <col min="10" max="16384" width="9.140625" style="4"/>
  </cols>
  <sheetData>
    <row r="1" spans="1:9" x14ac:dyDescent="0.3">
      <c r="A1" s="104" t="s">
        <v>12</v>
      </c>
      <c r="B1" s="104"/>
      <c r="C1" s="104"/>
      <c r="D1" s="104"/>
      <c r="E1" s="104"/>
      <c r="F1" s="104"/>
      <c r="G1" s="104"/>
      <c r="H1" s="104"/>
      <c r="I1" s="104"/>
    </row>
    <row r="2" spans="1:9" x14ac:dyDescent="0.3">
      <c r="A2" s="102"/>
      <c r="B2" s="102"/>
      <c r="C2" s="102"/>
      <c r="D2" s="102"/>
      <c r="E2" s="102"/>
      <c r="F2" s="102"/>
      <c r="G2" s="102"/>
      <c r="H2" s="102"/>
      <c r="I2" s="102"/>
    </row>
    <row r="3" spans="1:9" x14ac:dyDescent="0.3">
      <c r="A3" s="103" t="s">
        <v>0</v>
      </c>
      <c r="B3" s="103"/>
      <c r="C3" s="103"/>
      <c r="D3" s="23"/>
      <c r="E3" s="5"/>
      <c r="F3" s="103" t="s">
        <v>17</v>
      </c>
      <c r="G3" s="103"/>
      <c r="H3" s="102"/>
      <c r="I3" s="102"/>
    </row>
    <row r="4" spans="1:9" x14ac:dyDescent="0.3">
      <c r="A4" s="103" t="s">
        <v>15</v>
      </c>
      <c r="B4" s="103"/>
      <c r="C4" s="103"/>
      <c r="D4" s="23"/>
      <c r="E4" s="5"/>
      <c r="F4" s="103" t="s">
        <v>18</v>
      </c>
      <c r="G4" s="103"/>
      <c r="H4" s="105"/>
      <c r="I4" s="105"/>
    </row>
    <row r="5" spans="1:9" x14ac:dyDescent="0.3">
      <c r="A5" s="102"/>
      <c r="B5" s="102"/>
      <c r="C5" s="102"/>
      <c r="D5" s="102"/>
      <c r="E5" s="102"/>
      <c r="F5" s="102"/>
      <c r="G5" s="102"/>
      <c r="H5" s="102"/>
      <c r="I5" s="102"/>
    </row>
    <row r="6" spans="1:9" x14ac:dyDescent="0.3">
      <c r="A6" s="104" t="s">
        <v>19</v>
      </c>
      <c r="B6" s="104"/>
      <c r="C6" s="104"/>
      <c r="D6" s="104"/>
      <c r="E6" s="104"/>
      <c r="F6" s="104"/>
      <c r="G6" s="104"/>
      <c r="H6" s="104"/>
      <c r="I6" s="104"/>
    </row>
    <row r="7" spans="1:9" s="8" customFormat="1" ht="30" customHeight="1" x14ac:dyDescent="0.3">
      <c r="A7" s="6" t="s">
        <v>10</v>
      </c>
      <c r="B7" s="6" t="s">
        <v>11</v>
      </c>
      <c r="C7" s="7" t="s">
        <v>20</v>
      </c>
      <c r="D7" s="24" t="s">
        <v>132</v>
      </c>
      <c r="E7" s="6" t="s">
        <v>21</v>
      </c>
      <c r="F7" s="6" t="s">
        <v>13</v>
      </c>
      <c r="G7" s="6" t="s">
        <v>22</v>
      </c>
      <c r="H7" s="6" t="s">
        <v>14</v>
      </c>
      <c r="I7" s="7" t="s">
        <v>14</v>
      </c>
    </row>
    <row r="8" spans="1:9" x14ac:dyDescent="0.3">
      <c r="A8" s="30"/>
      <c r="B8" s="9"/>
      <c r="C8" s="29"/>
      <c r="D8" s="25"/>
      <c r="E8" s="5"/>
      <c r="F8" s="9"/>
      <c r="G8" s="28"/>
      <c r="H8" s="5"/>
      <c r="I8" s="10"/>
    </row>
    <row r="9" spans="1:9" x14ac:dyDescent="0.3">
      <c r="A9" s="9"/>
      <c r="B9" s="9"/>
      <c r="C9" s="10"/>
      <c r="D9" s="25"/>
      <c r="E9" s="5"/>
      <c r="F9" s="9"/>
      <c r="G9" s="5"/>
      <c r="H9" s="5"/>
      <c r="I9" s="10"/>
    </row>
    <row r="10" spans="1:9" x14ac:dyDescent="0.3">
      <c r="A10" s="9"/>
      <c r="B10" s="9"/>
      <c r="C10" s="10"/>
      <c r="D10" s="25"/>
      <c r="E10" s="5"/>
      <c r="F10" s="9"/>
      <c r="G10" s="5"/>
      <c r="H10" s="5"/>
      <c r="I10" s="10"/>
    </row>
    <row r="11" spans="1:9" x14ac:dyDescent="0.3">
      <c r="A11" s="9"/>
      <c r="B11" s="9"/>
      <c r="C11" s="10" t="s">
        <v>133</v>
      </c>
      <c r="D11" s="25"/>
      <c r="E11" s="5"/>
      <c r="F11" s="9"/>
      <c r="G11" s="5"/>
      <c r="H11" s="5"/>
      <c r="I11" s="10"/>
    </row>
    <row r="12" spans="1:9" x14ac:dyDescent="0.3">
      <c r="A12" s="9"/>
      <c r="B12" s="9"/>
      <c r="C12" s="10"/>
      <c r="D12" s="25"/>
      <c r="E12" s="5"/>
      <c r="F12" s="9"/>
      <c r="G12" s="5"/>
      <c r="H12" s="5"/>
      <c r="I12" s="10"/>
    </row>
    <row r="13" spans="1:9" x14ac:dyDescent="0.3">
      <c r="A13" s="9"/>
      <c r="B13" s="9"/>
      <c r="C13" s="10"/>
      <c r="D13" s="25"/>
      <c r="E13" s="5"/>
      <c r="F13" s="9"/>
      <c r="G13" s="5"/>
      <c r="H13" s="5"/>
      <c r="I13" s="10"/>
    </row>
    <row r="14" spans="1:9" x14ac:dyDescent="0.3">
      <c r="A14" s="9"/>
      <c r="B14" s="9"/>
      <c r="C14" s="10"/>
      <c r="D14" s="25"/>
      <c r="E14" s="5"/>
      <c r="F14" s="9"/>
      <c r="G14" s="5"/>
      <c r="H14" s="5"/>
      <c r="I14" s="10"/>
    </row>
    <row r="15" spans="1:9" x14ac:dyDescent="0.3">
      <c r="A15" s="9"/>
      <c r="B15" s="9"/>
      <c r="C15" s="10"/>
      <c r="D15" s="25"/>
      <c r="E15" s="5"/>
      <c r="F15" s="9"/>
      <c r="G15" s="5"/>
      <c r="H15" s="5"/>
      <c r="I15" s="10"/>
    </row>
    <row r="16" spans="1:9" x14ac:dyDescent="0.3">
      <c r="A16" s="9"/>
      <c r="B16" s="9"/>
      <c r="C16" s="10"/>
      <c r="D16" s="25"/>
      <c r="E16" s="5"/>
      <c r="F16" s="9"/>
      <c r="G16" s="5"/>
      <c r="H16" s="5"/>
      <c r="I16" s="10"/>
    </row>
    <row r="17" spans="1:9" x14ac:dyDescent="0.3">
      <c r="A17" s="9"/>
      <c r="B17" s="9"/>
      <c r="C17" s="10"/>
      <c r="D17" s="25"/>
      <c r="E17" s="5"/>
      <c r="F17" s="9"/>
      <c r="G17" s="5"/>
      <c r="H17" s="5"/>
      <c r="I17" s="10"/>
    </row>
    <row r="18" spans="1:9" x14ac:dyDescent="0.3">
      <c r="A18" s="9"/>
      <c r="B18" s="9"/>
      <c r="C18" s="10"/>
      <c r="D18" s="25"/>
      <c r="E18" s="5"/>
      <c r="F18" s="9"/>
      <c r="G18" s="5"/>
      <c r="H18" s="5"/>
      <c r="I18" s="10"/>
    </row>
    <row r="19" spans="1:9" x14ac:dyDescent="0.3">
      <c r="A19" s="9"/>
      <c r="B19" s="9"/>
      <c r="C19" s="10"/>
      <c r="D19" s="25"/>
      <c r="E19" s="5"/>
      <c r="F19" s="9"/>
      <c r="G19" s="5"/>
      <c r="H19" s="5"/>
      <c r="I19" s="10"/>
    </row>
    <row r="20" spans="1:9" x14ac:dyDescent="0.3">
      <c r="A20" s="9"/>
      <c r="B20" s="9"/>
      <c r="C20" s="10"/>
      <c r="D20" s="25"/>
      <c r="E20" s="5"/>
      <c r="F20" s="9"/>
      <c r="G20" s="5"/>
      <c r="H20" s="5"/>
      <c r="I20" s="10"/>
    </row>
    <row r="21" spans="1:9" x14ac:dyDescent="0.3">
      <c r="A21" s="9"/>
      <c r="B21" s="9"/>
      <c r="C21" s="10"/>
      <c r="D21" s="25"/>
      <c r="E21" s="5"/>
      <c r="F21" s="9"/>
      <c r="G21" s="5"/>
      <c r="H21" s="5"/>
      <c r="I21" s="10"/>
    </row>
    <row r="22" spans="1:9" x14ac:dyDescent="0.3">
      <c r="A22" s="9"/>
      <c r="B22" s="9"/>
      <c r="C22" s="10"/>
      <c r="D22" s="25"/>
      <c r="E22" s="5"/>
      <c r="F22" s="9"/>
      <c r="G22" s="5"/>
      <c r="H22" s="5"/>
      <c r="I22" s="10"/>
    </row>
    <row r="23" spans="1:9" x14ac:dyDescent="0.3">
      <c r="A23" s="9"/>
      <c r="B23" s="9"/>
      <c r="C23" s="10"/>
      <c r="D23" s="25"/>
      <c r="E23" s="5"/>
      <c r="F23" s="9"/>
      <c r="G23" s="5"/>
      <c r="H23" s="5"/>
      <c r="I23" s="10"/>
    </row>
    <row r="24" spans="1:9" x14ac:dyDescent="0.3">
      <c r="A24" s="9"/>
      <c r="B24" s="9"/>
      <c r="C24" s="10"/>
      <c r="D24" s="25"/>
      <c r="E24" s="5"/>
      <c r="F24" s="9"/>
      <c r="G24" s="5"/>
      <c r="H24" s="5"/>
      <c r="I24" s="10"/>
    </row>
    <row r="25" spans="1:9" x14ac:dyDescent="0.3">
      <c r="A25" s="9"/>
      <c r="B25" s="9"/>
      <c r="C25" s="10"/>
      <c r="D25" s="25"/>
      <c r="E25" s="5"/>
      <c r="F25" s="9"/>
      <c r="G25" s="5"/>
      <c r="H25" s="5"/>
      <c r="I25" s="10"/>
    </row>
    <row r="26" spans="1:9" x14ac:dyDescent="0.3">
      <c r="A26" s="9"/>
      <c r="B26" s="9"/>
      <c r="C26" s="10"/>
      <c r="D26" s="25"/>
      <c r="E26" s="5"/>
      <c r="F26" s="9"/>
      <c r="G26" s="5"/>
      <c r="H26" s="5"/>
      <c r="I26" s="10"/>
    </row>
    <row r="27" spans="1:9" x14ac:dyDescent="0.3">
      <c r="A27" s="9"/>
      <c r="B27" s="9"/>
      <c r="C27" s="10"/>
      <c r="D27" s="25"/>
      <c r="E27" s="5"/>
      <c r="F27" s="9"/>
      <c r="G27" s="5"/>
      <c r="H27" s="5"/>
      <c r="I27" s="10"/>
    </row>
    <row r="28" spans="1:9" x14ac:dyDescent="0.3">
      <c r="A28" s="9"/>
      <c r="B28" s="9"/>
      <c r="C28" s="10"/>
      <c r="D28" s="25"/>
      <c r="E28" s="5"/>
      <c r="F28" s="9"/>
      <c r="G28" s="5"/>
      <c r="H28" s="5"/>
      <c r="I28" s="10"/>
    </row>
    <row r="29" spans="1:9" x14ac:dyDescent="0.3">
      <c r="A29" s="102"/>
      <c r="B29" s="102"/>
      <c r="C29" s="102"/>
      <c r="D29" s="102"/>
      <c r="E29" s="102"/>
      <c r="F29" s="102"/>
      <c r="G29" s="102"/>
      <c r="H29" s="102"/>
      <c r="I29" s="102"/>
    </row>
    <row r="30" spans="1:9" x14ac:dyDescent="0.3">
      <c r="A30" s="101" t="s">
        <v>16</v>
      </c>
      <c r="B30" s="101"/>
      <c r="C30" s="101"/>
      <c r="D30" s="26"/>
      <c r="E30" s="102"/>
      <c r="F30" s="102"/>
      <c r="G30" s="102"/>
      <c r="H30" s="102"/>
      <c r="I30" s="102"/>
    </row>
    <row r="31" spans="1:9" x14ac:dyDescent="0.3">
      <c r="A31" s="101"/>
      <c r="B31" s="101"/>
      <c r="C31" s="101"/>
      <c r="D31" s="26"/>
      <c r="E31" s="102"/>
      <c r="F31" s="102"/>
      <c r="G31" s="102"/>
      <c r="H31" s="102"/>
      <c r="I31" s="102"/>
    </row>
    <row r="32" spans="1:9" x14ac:dyDescent="0.3">
      <c r="A32" s="101"/>
      <c r="B32" s="101"/>
      <c r="C32" s="101"/>
      <c r="D32" s="26"/>
      <c r="E32" s="102"/>
      <c r="F32" s="102"/>
      <c r="G32" s="102"/>
      <c r="H32" s="102"/>
      <c r="I32" s="102"/>
    </row>
    <row r="33" spans="1:9" x14ac:dyDescent="0.3">
      <c r="A33" s="101"/>
      <c r="B33" s="101"/>
      <c r="C33" s="101"/>
      <c r="D33" s="26"/>
      <c r="E33" s="102"/>
      <c r="F33" s="102"/>
      <c r="G33" s="102"/>
      <c r="H33" s="102"/>
      <c r="I33" s="102"/>
    </row>
  </sheetData>
  <autoFilter ref="A7:I7" xr:uid="{00000000-0009-0000-0000-000002000000}"/>
  <mergeCells count="13">
    <mergeCell ref="A1:I1"/>
    <mergeCell ref="A2:I2"/>
    <mergeCell ref="A29:I29"/>
    <mergeCell ref="A5:I5"/>
    <mergeCell ref="H3:I3"/>
    <mergeCell ref="H4:I4"/>
    <mergeCell ref="A30:C33"/>
    <mergeCell ref="E30:I33"/>
    <mergeCell ref="A4:C4"/>
    <mergeCell ref="A6:I6"/>
    <mergeCell ref="F3:G3"/>
    <mergeCell ref="F4:G4"/>
    <mergeCell ref="A3:C3"/>
  </mergeCells>
  <printOptions horizontalCentered="1"/>
  <pageMargins left="0.7" right="0.7" top="1.25" bottom="0.75" header="0.3" footer="0.3"/>
  <pageSetup scale="79" orientation="landscape" horizontalDpi="300" verticalDpi="300" r:id="rId1"/>
  <headerFooter>
    <oddHeader>&amp;L&amp;G&amp;C&amp;"Century Gothic,Bold"
Proceso: Gestión de Arquitectura y Control de Planos&amp;"Century Gothic,Regular"
Avance de información&amp;R
&amp;G</oddHeader>
    <oddFooter>&amp;L&amp;"Century Gothic,Regular"&amp;9Este documento es confidencial&amp;C&amp;"Century Gothic,Regular"&amp;9GA-FO-01 (01.2022) V.00&amp;R&amp;"Century Gothic,Regular"&amp;9Pagina &amp;P de &amp;N</oddFooter>
  </headerFooter>
  <legacyDrawingHF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tabColor theme="0" tint="-0.249977111117893"/>
  </sheetPr>
  <dimension ref="A1:L34"/>
  <sheetViews>
    <sheetView view="pageLayout" zoomScaleNormal="130" zoomScaleSheetLayoutView="100" workbookViewId="0">
      <selection activeCell="B3" sqref="B3:E4"/>
    </sheetView>
  </sheetViews>
  <sheetFormatPr baseColWidth="10" defaultColWidth="9.140625" defaultRowHeight="14.25" x14ac:dyDescent="0.3"/>
  <cols>
    <col min="1" max="1" width="7.7109375" style="4" customWidth="1"/>
    <col min="2" max="4" width="21.7109375" style="4" customWidth="1"/>
    <col min="5" max="7" width="14.7109375" style="4" customWidth="1"/>
    <col min="8" max="9" width="9.140625" style="4"/>
    <col min="10" max="10" width="83.85546875" style="4" customWidth="1"/>
    <col min="11" max="16384" width="9.140625" style="4"/>
  </cols>
  <sheetData>
    <row r="1" spans="1:12" x14ac:dyDescent="0.3">
      <c r="A1" s="106" t="s">
        <v>12</v>
      </c>
      <c r="B1" s="106"/>
      <c r="C1" s="106"/>
      <c r="D1" s="106"/>
      <c r="E1" s="106"/>
      <c r="F1" s="106"/>
      <c r="G1" s="106"/>
    </row>
    <row r="2" spans="1:12" ht="5.0999999999999996" customHeight="1" x14ac:dyDescent="0.3">
      <c r="A2" s="102"/>
      <c r="B2" s="102"/>
      <c r="C2" s="102"/>
      <c r="D2" s="102"/>
      <c r="E2" s="102"/>
      <c r="F2" s="102"/>
      <c r="G2" s="102"/>
    </row>
    <row r="3" spans="1:12" x14ac:dyDescent="0.3">
      <c r="A3" s="103" t="s">
        <v>0</v>
      </c>
      <c r="B3" s="103"/>
      <c r="C3" s="107"/>
      <c r="D3" s="107"/>
      <c r="E3" s="104"/>
      <c r="F3" s="104"/>
      <c r="G3" s="17"/>
    </row>
    <row r="4" spans="1:12" x14ac:dyDescent="0.3">
      <c r="A4" s="103" t="s">
        <v>24</v>
      </c>
      <c r="B4" s="103"/>
      <c r="C4" s="107"/>
      <c r="D4" s="107"/>
      <c r="E4" s="104"/>
      <c r="F4" s="104"/>
      <c r="G4" s="17"/>
    </row>
    <row r="5" spans="1:12" ht="5.0999999999999996" customHeight="1" x14ac:dyDescent="0.3">
      <c r="A5" s="102"/>
      <c r="B5" s="102"/>
      <c r="C5" s="102"/>
      <c r="D5" s="102"/>
      <c r="E5" s="102"/>
      <c r="F5" s="102"/>
      <c r="G5" s="102"/>
    </row>
    <row r="6" spans="1:12" x14ac:dyDescent="0.3">
      <c r="A6" s="106" t="s">
        <v>25</v>
      </c>
      <c r="B6" s="106"/>
      <c r="C6" s="106"/>
      <c r="D6" s="106"/>
      <c r="E6" s="106"/>
      <c r="F6" s="106"/>
      <c r="G6" s="106"/>
    </row>
    <row r="7" spans="1:12" s="8" customFormat="1" ht="30" customHeight="1" x14ac:dyDescent="0.3">
      <c r="A7" s="6" t="s">
        <v>10</v>
      </c>
      <c r="B7" s="6" t="s">
        <v>11</v>
      </c>
      <c r="C7" s="6" t="s">
        <v>26</v>
      </c>
      <c r="D7" s="6" t="s">
        <v>22</v>
      </c>
      <c r="E7" s="6" t="s">
        <v>27</v>
      </c>
      <c r="F7" s="6" t="s">
        <v>28</v>
      </c>
      <c r="G7" s="6" t="s">
        <v>29</v>
      </c>
    </row>
    <row r="8" spans="1:12" x14ac:dyDescent="0.3">
      <c r="A8" s="11"/>
      <c r="B8" s="11"/>
      <c r="C8" s="12"/>
      <c r="D8" s="12"/>
      <c r="E8" s="12"/>
      <c r="F8" s="12"/>
      <c r="G8" s="12"/>
    </row>
    <row r="9" spans="1:12" x14ac:dyDescent="0.3">
      <c r="A9" s="11"/>
      <c r="B9" s="11"/>
      <c r="C9" s="12"/>
      <c r="D9" s="12"/>
      <c r="E9" s="12"/>
      <c r="F9" s="12"/>
      <c r="G9" s="12"/>
    </row>
    <row r="10" spans="1:12" x14ac:dyDescent="0.3">
      <c r="A10" s="11"/>
      <c r="B10" s="11"/>
      <c r="C10" s="12"/>
      <c r="D10" s="12"/>
      <c r="E10" s="12"/>
      <c r="F10" s="12"/>
      <c r="G10" s="12"/>
      <c r="J10" s="13"/>
    </row>
    <row r="11" spans="1:12" x14ac:dyDescent="0.3">
      <c r="A11" s="11"/>
      <c r="B11" s="11"/>
      <c r="C11" s="12"/>
      <c r="D11" s="12"/>
      <c r="E11" s="12"/>
      <c r="F11" s="12"/>
      <c r="G11" s="12"/>
      <c r="J11" s="13"/>
    </row>
    <row r="12" spans="1:12" x14ac:dyDescent="0.3">
      <c r="A12" s="11"/>
      <c r="B12" s="11"/>
      <c r="C12" s="12"/>
      <c r="D12" s="12"/>
      <c r="E12" s="12"/>
      <c r="F12" s="12"/>
      <c r="G12" s="12"/>
      <c r="J12" s="13"/>
    </row>
    <row r="13" spans="1:12" x14ac:dyDescent="0.3">
      <c r="A13" s="11"/>
      <c r="B13" s="11"/>
      <c r="C13" s="12"/>
      <c r="D13" s="12"/>
      <c r="E13" s="12"/>
      <c r="F13" s="12"/>
      <c r="G13" s="12"/>
      <c r="I13" s="14"/>
      <c r="J13" s="15"/>
      <c r="K13" s="16"/>
      <c r="L13" s="16"/>
    </row>
    <row r="14" spans="1:12" x14ac:dyDescent="0.3">
      <c r="A14" s="11"/>
      <c r="B14" s="11"/>
      <c r="C14" s="12"/>
      <c r="D14" s="12"/>
      <c r="E14" s="12"/>
      <c r="F14" s="12"/>
      <c r="G14" s="12"/>
      <c r="J14" s="13"/>
    </row>
    <row r="15" spans="1:12" x14ac:dyDescent="0.3">
      <c r="A15" s="11"/>
      <c r="B15" s="11"/>
      <c r="C15" s="12"/>
      <c r="D15" s="12"/>
      <c r="E15" s="12"/>
      <c r="F15" s="12"/>
      <c r="G15" s="12"/>
      <c r="J15" s="13"/>
    </row>
    <row r="16" spans="1:12" x14ac:dyDescent="0.3">
      <c r="A16" s="11"/>
      <c r="B16" s="11"/>
      <c r="C16" s="12"/>
      <c r="D16" s="12"/>
      <c r="E16" s="12"/>
      <c r="F16" s="12"/>
      <c r="G16" s="12"/>
    </row>
    <row r="17" spans="1:7" x14ac:dyDescent="0.3">
      <c r="A17" s="11"/>
      <c r="B17" s="11"/>
      <c r="C17" s="12"/>
      <c r="D17" s="12"/>
      <c r="E17" s="12"/>
      <c r="F17" s="12"/>
      <c r="G17" s="12"/>
    </row>
    <row r="18" spans="1:7" x14ac:dyDescent="0.3">
      <c r="A18" s="11"/>
      <c r="B18" s="11"/>
      <c r="C18" s="12"/>
      <c r="D18" s="12"/>
      <c r="E18" s="12"/>
      <c r="F18" s="12"/>
      <c r="G18" s="12"/>
    </row>
    <row r="19" spans="1:7" x14ac:dyDescent="0.3">
      <c r="A19" s="11"/>
      <c r="B19" s="11"/>
      <c r="C19" s="12"/>
      <c r="D19" s="12"/>
      <c r="E19" s="12"/>
      <c r="F19" s="12"/>
      <c r="G19" s="12"/>
    </row>
    <row r="20" spans="1:7" x14ac:dyDescent="0.3">
      <c r="A20" s="11"/>
      <c r="B20" s="11"/>
      <c r="C20" s="12"/>
      <c r="D20" s="12"/>
      <c r="E20" s="12"/>
      <c r="F20" s="12"/>
      <c r="G20" s="12"/>
    </row>
    <row r="21" spans="1:7" x14ac:dyDescent="0.3">
      <c r="A21" s="11"/>
      <c r="B21" s="11"/>
      <c r="C21" s="12"/>
      <c r="D21" s="12"/>
      <c r="E21" s="12"/>
      <c r="F21" s="12"/>
      <c r="G21" s="12"/>
    </row>
    <row r="22" spans="1:7" x14ac:dyDescent="0.3">
      <c r="A22" s="11"/>
      <c r="B22" s="11"/>
      <c r="C22" s="12"/>
      <c r="D22" s="12"/>
      <c r="E22" s="12"/>
      <c r="F22" s="12"/>
      <c r="G22" s="12"/>
    </row>
    <row r="23" spans="1:7" x14ac:dyDescent="0.3">
      <c r="A23" s="11"/>
      <c r="B23" s="11"/>
      <c r="C23" s="12"/>
      <c r="D23" s="12"/>
      <c r="E23" s="12"/>
      <c r="F23" s="12"/>
      <c r="G23" s="12"/>
    </row>
    <row r="24" spans="1:7" x14ac:dyDescent="0.3">
      <c r="A24" s="11"/>
      <c r="B24" s="11"/>
      <c r="C24" s="12"/>
      <c r="D24" s="12"/>
      <c r="E24" s="12"/>
      <c r="F24" s="12"/>
      <c r="G24" s="12"/>
    </row>
    <row r="25" spans="1:7" x14ac:dyDescent="0.3">
      <c r="A25" s="11"/>
      <c r="B25" s="11"/>
      <c r="C25" s="12"/>
      <c r="D25" s="12"/>
      <c r="E25" s="12"/>
      <c r="F25" s="12"/>
      <c r="G25" s="12"/>
    </row>
    <row r="26" spans="1:7" x14ac:dyDescent="0.3">
      <c r="A26" s="11"/>
      <c r="B26" s="11"/>
      <c r="C26" s="12"/>
      <c r="D26" s="12"/>
      <c r="E26" s="12"/>
      <c r="F26" s="12"/>
      <c r="G26" s="12"/>
    </row>
    <row r="27" spans="1:7" x14ac:dyDescent="0.3">
      <c r="A27" s="11"/>
      <c r="B27" s="11"/>
      <c r="C27" s="12"/>
      <c r="D27" s="12"/>
      <c r="E27" s="12"/>
      <c r="F27" s="12"/>
      <c r="G27" s="12"/>
    </row>
    <row r="28" spans="1:7" x14ac:dyDescent="0.3">
      <c r="A28" s="11"/>
      <c r="B28" s="11"/>
      <c r="C28" s="12"/>
      <c r="D28" s="12"/>
      <c r="E28" s="12"/>
      <c r="F28" s="12"/>
      <c r="G28" s="12"/>
    </row>
    <row r="29" spans="1:7" ht="5.0999999999999996" customHeight="1" x14ac:dyDescent="0.3">
      <c r="A29" s="102"/>
      <c r="B29" s="102"/>
      <c r="C29" s="102"/>
      <c r="D29" s="102"/>
      <c r="E29" s="102"/>
      <c r="F29" s="102"/>
      <c r="G29" s="102"/>
    </row>
    <row r="30" spans="1:7" x14ac:dyDescent="0.3">
      <c r="A30" s="108" t="s">
        <v>16</v>
      </c>
      <c r="B30" s="108"/>
      <c r="C30" s="108"/>
      <c r="D30" s="109"/>
      <c r="E30" s="109"/>
      <c r="F30" s="109"/>
      <c r="G30" s="109"/>
    </row>
    <row r="31" spans="1:7" x14ac:dyDescent="0.3">
      <c r="A31" s="108"/>
      <c r="B31" s="108"/>
      <c r="C31" s="108"/>
      <c r="D31" s="109"/>
      <c r="E31" s="109"/>
      <c r="F31" s="109"/>
      <c r="G31" s="109"/>
    </row>
    <row r="32" spans="1:7" x14ac:dyDescent="0.3">
      <c r="A32" s="108"/>
      <c r="B32" s="108"/>
      <c r="C32" s="108"/>
      <c r="D32" s="109"/>
      <c r="E32" s="109"/>
      <c r="F32" s="109"/>
      <c r="G32" s="109"/>
    </row>
    <row r="33" spans="1:7" x14ac:dyDescent="0.3">
      <c r="A33" s="108"/>
      <c r="B33" s="108"/>
      <c r="C33" s="108"/>
      <c r="D33" s="109"/>
      <c r="E33" s="109"/>
      <c r="F33" s="109"/>
      <c r="G33" s="109"/>
    </row>
    <row r="34" spans="1:7" ht="5.0999999999999996" customHeight="1" x14ac:dyDescent="0.3">
      <c r="A34" s="102"/>
      <c r="B34" s="102"/>
      <c r="C34" s="102"/>
      <c r="D34" s="102"/>
      <c r="E34" s="102"/>
      <c r="F34" s="102"/>
      <c r="G34" s="102"/>
    </row>
  </sheetData>
  <autoFilter ref="A7:G7" xr:uid="{00000000-0009-0000-0000-000003000000}"/>
  <mergeCells count="14">
    <mergeCell ref="A34:G34"/>
    <mergeCell ref="A1:G1"/>
    <mergeCell ref="A2:G2"/>
    <mergeCell ref="A3:B3"/>
    <mergeCell ref="A4:B4"/>
    <mergeCell ref="E4:F4"/>
    <mergeCell ref="E3:F3"/>
    <mergeCell ref="C3:D3"/>
    <mergeCell ref="C4:D4"/>
    <mergeCell ref="A5:G5"/>
    <mergeCell ref="A6:G6"/>
    <mergeCell ref="A29:G29"/>
    <mergeCell ref="A30:C33"/>
    <mergeCell ref="D30:G33"/>
  </mergeCells>
  <printOptions horizontalCentered="1"/>
  <pageMargins left="0.7" right="0.7" top="1.25" bottom="0.75" header="0.3" footer="0.3"/>
  <pageSetup orientation="landscape" horizontalDpi="300" verticalDpi="300" r:id="rId1"/>
  <headerFooter>
    <oddHeader>&amp;L&amp;G&amp;C&amp;"Century Gothic,Bold"
Proceso: Gestión de Arquitectura y Control de Planos&amp;"Century Gothic,Regular"
Avance de Modificaciones Asumidas&amp;R
&amp;G</oddHeader>
    <oddFooter>&amp;L&amp;"Century Gothic,Regular"&amp;9Este documento es confidencial&amp;C&amp;"Century Gothic,Regular"&amp;9GA-FO-01 (01.2022) V.00&amp;R&amp;"Century Gothic,Regular"&amp;9Pagina &amp;P de &amp;N</oddFooter>
  </headerFooter>
  <rowBreaks count="1" manualBreakCount="1">
    <brk id="34" max="6" man="1"/>
  </rowBreaks>
  <colBreaks count="1" manualBreakCount="1">
    <brk id="7" max="6" man="1"/>
  </colBreaks>
  <legacyDrawingHF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Hojas de cálculo</vt:lpstr>
      </vt:variant>
      <vt:variant>
        <vt:i4>4</vt:i4>
      </vt:variant>
      <vt:variant>
        <vt:lpstr>Rangos con nombre</vt:lpstr>
      </vt:variant>
      <vt:variant>
        <vt:i4>6</vt:i4>
      </vt:variant>
    </vt:vector>
  </HeadingPairs>
  <TitlesOfParts>
    <vt:vector size="10" baseType="lpstr">
      <vt:lpstr>Base de datos</vt:lpstr>
      <vt:lpstr>RESUMEN</vt:lpstr>
      <vt:lpstr>ACTA DE AVANCE DE INFORMACIÓN 2</vt:lpstr>
      <vt:lpstr>ACTA DE AVANCE DE MODIFICACÓN</vt:lpstr>
      <vt:lpstr>'ACTA DE AVANCE DE INFORMACIÓN 2'!Área_de_impresión</vt:lpstr>
      <vt:lpstr>'ACTA DE AVANCE DE MODIFICACÓN'!Área_de_impresión</vt:lpstr>
      <vt:lpstr>'Base de datos'!Área_de_impresión</vt:lpstr>
      <vt:lpstr>RESUMEN!Área_de_impresión</vt:lpstr>
      <vt:lpstr>Column1</vt:lpstr>
      <vt:lpstr>ESTADO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Yaritza Elizabeth Diaz Gonzalez</dc:creator>
  <cp:lastModifiedBy>scarlem grupodupla.com</cp:lastModifiedBy>
  <cp:lastPrinted>2025-01-10T14:42:21Z</cp:lastPrinted>
  <dcterms:created xsi:type="dcterms:W3CDTF">2021-06-12T13:22:53Z</dcterms:created>
  <dcterms:modified xsi:type="dcterms:W3CDTF">2026-03-04T13:25:51Z</dcterms:modified>
</cp:coreProperties>
</file>