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Código</t>
        </is>
      </c>
      <c r="B1" t="inlineStr">
        <is>
          <t>Nat</t>
        </is>
      </c>
      <c r="C1" t="inlineStr">
        <is>
          <t>Ud</t>
        </is>
      </c>
      <c r="D1" t="inlineStr">
        <is>
          <t>Resumen</t>
        </is>
      </c>
      <c r="E1" t="inlineStr">
        <is>
          <t>CanPres</t>
        </is>
      </c>
      <c r="F1" t="inlineStr">
        <is>
          <t>PrPres</t>
        </is>
      </c>
      <c r="G1" t="inlineStr">
        <is>
          <t>ImpPres</t>
        </is>
      </c>
      <c r="H1" t="inlineStr">
        <is>
          <t>Corrección Código</t>
        </is>
      </c>
      <c r="I1" t="inlineStr">
        <is>
          <t>Corrección Cantidad</t>
        </is>
      </c>
      <c r="J1" t="inlineStr">
        <is>
          <t>Corrección Unidad</t>
        </is>
      </c>
      <c r="K1" t="inlineStr">
        <is>
          <t>Tipo Corrección</t>
        </is>
      </c>
      <c r="L1" t="inlineStr">
        <is>
          <t>Notas Revisor</t>
        </is>
      </c>
    </row>
    <row r="2">
      <c r="A2" t="inlineStr">
        <is>
          <t>DUP-CH-01</t>
        </is>
      </c>
      <c r="B2" t="inlineStr">
        <is>
          <t>Capítulo</t>
        </is>
      </c>
      <c r="C2" t="inlineStr"/>
      <c r="D2" t="inlineStr">
        <is>
          <t>ESTRUCTURA</t>
        </is>
      </c>
      <c r="E2">
        <f>E11</f>
        <v/>
      </c>
      <c r="F2">
        <f>F11</f>
        <v/>
      </c>
      <c r="G2">
        <f>G11</f>
        <v/>
      </c>
      <c r="H2" t="inlineStr"/>
      <c r="I2" t="inlineStr"/>
      <c r="J2" t="inlineStr"/>
      <c r="K2" t="inlineStr"/>
      <c r="L2" t="inlineStr"/>
    </row>
    <row r="3">
      <c r="A3" t="inlineStr">
        <is>
          <t>DUP-CH-01.01</t>
        </is>
      </c>
      <c r="B3" t="inlineStr">
        <is>
          <t>Capítulo</t>
        </is>
      </c>
      <c r="C3" t="inlineStr"/>
      <c r="D3" t="inlineStr">
        <is>
          <t>HORMIGON ARMADO</t>
        </is>
      </c>
      <c r="E3">
        <f>E7</f>
        <v/>
      </c>
      <c r="F3">
        <f>F7</f>
        <v/>
      </c>
      <c r="G3">
        <f>G7</f>
        <v/>
      </c>
      <c r="H3" t="inlineStr"/>
      <c r="I3" t="inlineStr"/>
      <c r="J3" t="inlineStr"/>
      <c r="K3" t="inlineStr"/>
      <c r="L3" t="inlineStr"/>
    </row>
    <row r="4">
      <c r="A4" t="inlineStr">
        <is>
          <t>M040108</t>
        </is>
      </c>
      <c r="B4" t="inlineStr">
        <is>
          <t>Partida</t>
        </is>
      </c>
      <c r="C4" t="inlineStr">
        <is>
          <t>m3</t>
        </is>
      </c>
      <c r="D4" t="inlineStr">
        <is>
          <t>Hormigón 280 Kg/cm2 (incluye bomba y colocación)</t>
        </is>
      </c>
      <c r="E4" t="n">
        <v>8.649000000000006</v>
      </c>
      <c r="F4" t="n">
        <v>9400</v>
      </c>
      <c r="G4">
        <f>ROUND(E6*F6,2)</f>
        <v/>
      </c>
      <c r="H4" t="inlineStr"/>
      <c r="I4" t="inlineStr"/>
      <c r="J4" t="inlineStr"/>
      <c r="K4" t="inlineStr"/>
      <c r="L4" t="inlineStr"/>
    </row>
    <row r="5">
      <c r="A5" t="inlineStr"/>
      <c r="B5" t="inlineStr">
        <is>
          <t>Subtotal/Cierre de capítulo</t>
        </is>
      </c>
      <c r="C5" t="inlineStr"/>
      <c r="D5" t="inlineStr">
        <is>
          <t>Subtotal HORMIGON ARMADO</t>
        </is>
      </c>
      <c r="E5" t="n">
        <v>1</v>
      </c>
      <c r="F5">
        <f>SUM(G6)</f>
        <v/>
      </c>
      <c r="G5">
        <f>ROUND(E7*F7,2)</f>
        <v/>
      </c>
      <c r="H5" t="inlineStr"/>
      <c r="I5" t="inlineStr"/>
      <c r="J5" t="inlineStr"/>
      <c r="K5" t="inlineStr"/>
      <c r="L5" t="inlineStr"/>
    </row>
    <row r="6">
      <c r="A6" t="inlineStr">
        <is>
          <t>DUP-CH-01.02</t>
        </is>
      </c>
      <c r="B6" t="inlineStr">
        <is>
          <t>Capítulo</t>
        </is>
      </c>
      <c r="C6" t="inlineStr"/>
      <c r="D6" t="inlineStr">
        <is>
          <t>ENCOFRADOS</t>
        </is>
      </c>
      <c r="E6">
        <f>E10</f>
        <v/>
      </c>
      <c r="F6">
        <f>F10</f>
        <v/>
      </c>
      <c r="G6">
        <f>G10</f>
        <v/>
      </c>
      <c r="H6" t="inlineStr"/>
      <c r="I6" t="inlineStr"/>
      <c r="J6" t="inlineStr"/>
      <c r="K6" t="inlineStr"/>
      <c r="L6" t="inlineStr"/>
    </row>
    <row r="7">
      <c r="A7" t="inlineStr">
        <is>
          <t>H0502195</t>
        </is>
      </c>
      <c r="B7" t="inlineStr">
        <is>
          <t>Partida</t>
        </is>
      </c>
      <c r="C7" t="inlineStr">
        <is>
          <t>m2</t>
        </is>
      </c>
      <c r="D7" t="inlineStr">
        <is>
          <t>M.O. Encofrado Vigas</t>
        </is>
      </c>
      <c r="E7" t="n">
        <v>74.95800000000006</v>
      </c>
      <c r="F7" t="n">
        <v>1400</v>
      </c>
      <c r="G7">
        <f>ROUND(E9*F9,2)</f>
        <v/>
      </c>
      <c r="H7" t="inlineStr"/>
      <c r="I7" t="inlineStr"/>
      <c r="J7" t="inlineStr"/>
      <c r="K7" t="inlineStr"/>
      <c r="L7" t="inlineStr"/>
    </row>
    <row r="8">
      <c r="A8" t="inlineStr"/>
      <c r="B8" t="inlineStr">
        <is>
          <t>Subtotal/Cierre de capítulo</t>
        </is>
      </c>
      <c r="C8" t="inlineStr"/>
      <c r="D8" t="inlineStr">
        <is>
          <t>Subtotal ENCOFRADOS</t>
        </is>
      </c>
      <c r="E8" t="n">
        <v>1</v>
      </c>
      <c r="F8">
        <f>SUM(G9)</f>
        <v/>
      </c>
      <c r="G8">
        <f>ROUND(E10*F10,2)</f>
        <v/>
      </c>
      <c r="H8" t="inlineStr"/>
      <c r="I8" t="inlineStr"/>
      <c r="J8" t="inlineStr"/>
      <c r="K8" t="inlineStr"/>
      <c r="L8" t="inlineStr"/>
    </row>
    <row r="9">
      <c r="A9" t="inlineStr"/>
      <c r="B9" t="inlineStr">
        <is>
          <t>Subtotal/Cierre de capítulo</t>
        </is>
      </c>
      <c r="C9" t="inlineStr"/>
      <c r="D9" t="inlineStr">
        <is>
          <t>Subtotal ESTRUCTURA</t>
        </is>
      </c>
      <c r="E9" t="n">
        <v>1</v>
      </c>
      <c r="F9">
        <f>SUM(G7,G10)</f>
        <v/>
      </c>
      <c r="G9">
        <f>ROUND(E11*F11,2)</f>
        <v/>
      </c>
      <c r="H9" t="inlineStr"/>
      <c r="I9" t="inlineStr"/>
      <c r="J9" t="inlineStr"/>
      <c r="K9" t="inlineStr"/>
      <c r="L9" t="inlineStr"/>
    </row>
    <row r="10">
      <c r="A10" t="inlineStr">
        <is>
          <t>DUP-CH-05</t>
        </is>
      </c>
      <c r="B10" t="inlineStr">
        <is>
          <t>Capítulo</t>
        </is>
      </c>
      <c r="C10" t="inlineStr"/>
      <c r="D10" t="inlineStr">
        <is>
          <t>TERMINACIONES</t>
        </is>
      </c>
      <c r="E10">
        <f>E19</f>
        <v/>
      </c>
      <c r="F10">
        <f>F19</f>
        <v/>
      </c>
      <c r="G10">
        <f>G19</f>
        <v/>
      </c>
      <c r="H10" t="inlineStr"/>
      <c r="I10" t="inlineStr"/>
      <c r="J10" t="inlineStr"/>
      <c r="K10" t="inlineStr"/>
      <c r="L10" t="inlineStr"/>
    </row>
    <row r="11">
      <c r="A11" t="inlineStr">
        <is>
          <t>DUP-CH-05.01</t>
        </is>
      </c>
      <c r="B11" t="inlineStr">
        <is>
          <t>Capítulo</t>
        </is>
      </c>
      <c r="C11" t="inlineStr"/>
      <c r="D11" t="inlineStr">
        <is>
          <t>TERMINACION DE SUPERFICIES</t>
        </is>
      </c>
      <c r="E11">
        <f>E18</f>
        <v/>
      </c>
      <c r="F11">
        <f>F18</f>
        <v/>
      </c>
      <c r="G11">
        <f>G18</f>
        <v/>
      </c>
      <c r="H11" t="inlineStr"/>
      <c r="I11" t="inlineStr"/>
      <c r="J11" t="inlineStr"/>
      <c r="K11" t="inlineStr"/>
      <c r="L11" t="inlineStr"/>
    </row>
    <row r="12">
      <c r="A12" t="inlineStr">
        <is>
          <t>P0501101</t>
        </is>
      </c>
      <c r="B12" t="inlineStr">
        <is>
          <t>Partida</t>
        </is>
      </c>
      <c r="C12" t="inlineStr">
        <is>
          <t>m2</t>
        </is>
      </c>
      <c r="D12" t="inlineStr">
        <is>
          <t>Pañete en muros Interiores e=1.75cm</t>
        </is>
      </c>
      <c r="E12" t="n">
        <v>10780.96320000092</v>
      </c>
      <c r="F12" t="n">
        <v>544.9</v>
      </c>
      <c r="G12">
        <f>ROUND(E14*F14,2)</f>
        <v/>
      </c>
      <c r="H12" t="inlineStr"/>
      <c r="I12" t="inlineStr"/>
      <c r="J12" t="inlineStr"/>
      <c r="K12" t="inlineStr"/>
      <c r="L12" t="inlineStr"/>
    </row>
    <row r="13">
      <c r="A13" t="inlineStr">
        <is>
          <t>P0501101</t>
        </is>
      </c>
      <c r="B13" t="inlineStr">
        <is>
          <t>Partida</t>
        </is>
      </c>
      <c r="C13" t="inlineStr">
        <is>
          <t>m2</t>
        </is>
      </c>
      <c r="D13" t="inlineStr">
        <is>
          <t>Pañete en muros Interiores e=1.75cm</t>
        </is>
      </c>
      <c r="E13" t="n">
        <v>22893.95359999995</v>
      </c>
      <c r="F13" t="n">
        <v>544.9</v>
      </c>
      <c r="G13">
        <f>ROUND(E15*F15,2)</f>
        <v/>
      </c>
      <c r="H13" t="inlineStr"/>
      <c r="I13" t="inlineStr"/>
      <c r="J13" t="inlineStr"/>
      <c r="K13" t="inlineStr"/>
      <c r="L13" t="inlineStr"/>
    </row>
    <row r="14">
      <c r="A14" t="inlineStr">
        <is>
          <t>P1801102</t>
        </is>
      </c>
      <c r="B14" t="inlineStr">
        <is>
          <t>Partida</t>
        </is>
      </c>
      <c r="C14" t="inlineStr">
        <is>
          <t>m2</t>
        </is>
      </c>
      <c r="D14" t="inlineStr">
        <is>
          <t>Pintura Acrílica Exterior</t>
        </is>
      </c>
      <c r="E14" t="n">
        <v>10780.96320000092</v>
      </c>
      <c r="F14" t="n">
        <v>548.7</v>
      </c>
      <c r="G14">
        <f>ROUND(E16*F16,2)</f>
        <v/>
      </c>
      <c r="H14" t="inlineStr"/>
      <c r="I14" t="inlineStr"/>
      <c r="J14" t="inlineStr"/>
      <c r="K14" t="inlineStr"/>
      <c r="L14" t="inlineStr"/>
    </row>
    <row r="15">
      <c r="A15" t="inlineStr">
        <is>
          <t>P1801102</t>
        </is>
      </c>
      <c r="B15" t="inlineStr">
        <is>
          <t>Partida</t>
        </is>
      </c>
      <c r="C15" t="inlineStr">
        <is>
          <t>m2</t>
        </is>
      </c>
      <c r="D15" t="inlineStr">
        <is>
          <t>Pintura Acrílica Exterior</t>
        </is>
      </c>
      <c r="E15" t="n">
        <v>22893.95359999995</v>
      </c>
      <c r="F15" t="n">
        <v>548.7</v>
      </c>
      <c r="G15">
        <f>ROUND(E17*F17,2)</f>
        <v/>
      </c>
      <c r="H15" t="inlineStr"/>
      <c r="I15" t="inlineStr"/>
      <c r="J15" t="inlineStr"/>
      <c r="K15" t="inlineStr"/>
      <c r="L15" t="inlineStr"/>
    </row>
    <row r="16">
      <c r="A16" t="inlineStr"/>
      <c r="B16" t="inlineStr">
        <is>
          <t>Subtotal/Cierre de capítulo</t>
        </is>
      </c>
      <c r="C16" t="inlineStr"/>
      <c r="D16" t="inlineStr">
        <is>
          <t>Subtotal TERMINACION DE SUPERFICIES</t>
        </is>
      </c>
      <c r="E16" t="n">
        <v>1</v>
      </c>
      <c r="F16">
        <f>SUM(G14,G15,G16,G17)</f>
        <v/>
      </c>
      <c r="G16">
        <f>ROUND(E18*F18,2)</f>
        <v/>
      </c>
      <c r="H16" t="inlineStr"/>
      <c r="I16" t="inlineStr"/>
      <c r="J16" t="inlineStr"/>
      <c r="K16" t="inlineStr"/>
      <c r="L16" t="inlineStr"/>
    </row>
    <row r="17">
      <c r="A17" t="inlineStr"/>
      <c r="B17" t="inlineStr">
        <is>
          <t>Subtotal/Cierre de capítulo</t>
        </is>
      </c>
      <c r="C17" t="inlineStr"/>
      <c r="D17" t="inlineStr">
        <is>
          <t>Subtotal TERMINACIONES</t>
        </is>
      </c>
      <c r="E17" t="n">
        <v>1</v>
      </c>
      <c r="F17">
        <f>SUM(G18)</f>
        <v/>
      </c>
      <c r="G17">
        <f>ROUND(E19*F19,2)</f>
        <v/>
      </c>
      <c r="H17" t="inlineStr"/>
      <c r="I17" t="inlineStr"/>
      <c r="J17" t="inlineStr"/>
      <c r="K17" t="inlineStr"/>
      <c r="L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2026-04-05T20:56:15Z</dcterms:created>
  <dcterms:modified xsi:type="dcterms:W3CDTF">2026-04-05T20:56:15Z</dcterms:modified>
</cp:coreProperties>
</file>