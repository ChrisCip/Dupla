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60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Dupla — 8- ACAD-PLANOS GIUALCA I - RV7 - EXP.039-025.dwg SOLO IMPRESION (1)</t>
        </is>
      </c>
    </row>
    <row r="2">
      <c r="A2" s="2" t="inlineStr">
        <is>
          <t>Presupuesto</t>
        </is>
      </c>
    </row>
    <row r="3">
      <c r="A3" s="3" t="inlineStr">
        <is>
          <t>Código</t>
        </is>
      </c>
      <c r="B3" s="3" t="inlineStr">
        <is>
          <t>Nat</t>
        </is>
      </c>
      <c r="C3" s="3" t="inlineStr">
        <is>
          <t>Ud</t>
        </is>
      </c>
      <c r="D3" s="3" t="inlineStr">
        <is>
          <t>Resumen</t>
        </is>
      </c>
      <c r="E3" s="3" t="inlineStr">
        <is>
          <t>CanPres</t>
        </is>
      </c>
      <c r="F3" s="3" t="inlineStr">
        <is>
          <t>PrPres</t>
        </is>
      </c>
      <c r="G3" s="3" t="inlineStr">
        <is>
          <t>ImpPres</t>
        </is>
      </c>
    </row>
    <row r="4">
      <c r="A4" s="4" t="inlineStr">
        <is>
          <t>DUP-CH-01</t>
        </is>
      </c>
      <c r="B4" s="4" t="inlineStr">
        <is>
          <t>Capítulo</t>
        </is>
      </c>
      <c r="C4" s="4" t="inlineStr"/>
      <c r="D4" s="4" t="inlineStr">
        <is>
          <t>ESTRUCTURA</t>
        </is>
      </c>
      <c r="E4" s="5">
        <f>E11</f>
        <v/>
      </c>
      <c r="F4" s="5">
        <f>F11</f>
        <v/>
      </c>
      <c r="G4" s="5">
        <f>G11</f>
        <v/>
      </c>
    </row>
    <row r="5">
      <c r="A5" s="4" t="inlineStr">
        <is>
          <t>DUP-CH-01.01</t>
        </is>
      </c>
      <c r="B5" s="4" t="inlineStr">
        <is>
          <t>Capítulo</t>
        </is>
      </c>
      <c r="C5" s="4" t="inlineStr"/>
      <c r="D5" s="4" t="inlineStr">
        <is>
          <t>HORMIGON ARMADO</t>
        </is>
      </c>
      <c r="E5" s="5">
        <f>E7</f>
        <v/>
      </c>
      <c r="F5" s="5">
        <f>F7</f>
        <v/>
      </c>
      <c r="G5" s="5">
        <f>G7</f>
        <v/>
      </c>
    </row>
    <row r="6">
      <c r="A6" s="6" t="inlineStr">
        <is>
          <t>M040108</t>
        </is>
      </c>
      <c r="B6" s="6" t="inlineStr">
        <is>
          <t>Partida</t>
        </is>
      </c>
      <c r="C6" s="6" t="inlineStr">
        <is>
          <t>m3</t>
        </is>
      </c>
      <c r="D6" s="6" t="inlineStr">
        <is>
          <t>Hormigón 280 Kg/cm2 (incluye bomba y colocación)</t>
        </is>
      </c>
      <c r="E6" s="7" t="n">
        <v>8.649000000000006</v>
      </c>
      <c r="F6" s="7" t="n">
        <v>9400</v>
      </c>
      <c r="G6" s="7">
        <f>ROUND(E6*F6,2)</f>
        <v/>
      </c>
    </row>
    <row r="7">
      <c r="A7" s="8" t="inlineStr"/>
      <c r="B7" s="8" t="inlineStr">
        <is>
          <t>Subtotal/Cierre de capítulo</t>
        </is>
      </c>
      <c r="C7" s="8" t="inlineStr"/>
      <c r="D7" s="8" t="inlineStr">
        <is>
          <t>Subtotal HORMIGON ARMADO</t>
        </is>
      </c>
      <c r="E7" s="9" t="n">
        <v>1</v>
      </c>
      <c r="F7" s="9">
        <f>SUM(G6)</f>
        <v/>
      </c>
      <c r="G7" s="9">
        <f>ROUND(E7*F7,2)</f>
        <v/>
      </c>
    </row>
    <row r="8">
      <c r="A8" s="4" t="inlineStr">
        <is>
          <t>DUP-CH-01.02</t>
        </is>
      </c>
      <c r="B8" s="4" t="inlineStr">
        <is>
          <t>Capítulo</t>
        </is>
      </c>
      <c r="C8" s="4" t="inlineStr"/>
      <c r="D8" s="4" t="inlineStr">
        <is>
          <t>ENCOFRADOS</t>
        </is>
      </c>
      <c r="E8" s="5">
        <f>E10</f>
        <v/>
      </c>
      <c r="F8" s="5">
        <f>F10</f>
        <v/>
      </c>
      <c r="G8" s="5">
        <f>G10</f>
        <v/>
      </c>
    </row>
    <row r="9">
      <c r="A9" s="6" t="inlineStr">
        <is>
          <t>H0502195</t>
        </is>
      </c>
      <c r="B9" s="6" t="inlineStr">
        <is>
          <t>Partida</t>
        </is>
      </c>
      <c r="C9" s="6" t="inlineStr">
        <is>
          <t>m2</t>
        </is>
      </c>
      <c r="D9" s="6" t="inlineStr">
        <is>
          <t>M.O. Encofrado Vigas</t>
        </is>
      </c>
      <c r="E9" s="7" t="n">
        <v>74.95800000000006</v>
      </c>
      <c r="F9" s="7" t="n">
        <v>1400</v>
      </c>
      <c r="G9" s="7">
        <f>ROUND(E9*F9,2)</f>
        <v/>
      </c>
    </row>
    <row r="10">
      <c r="A10" s="8" t="inlineStr"/>
      <c r="B10" s="8" t="inlineStr">
        <is>
          <t>Subtotal/Cierre de capítulo</t>
        </is>
      </c>
      <c r="C10" s="8" t="inlineStr"/>
      <c r="D10" s="8" t="inlineStr">
        <is>
          <t>Subtotal ENCOFRADOS</t>
        </is>
      </c>
      <c r="E10" s="9" t="n">
        <v>1</v>
      </c>
      <c r="F10" s="9">
        <f>SUM(G9)</f>
        <v/>
      </c>
      <c r="G10" s="9">
        <f>ROUND(E10*F10,2)</f>
        <v/>
      </c>
    </row>
    <row r="11">
      <c r="A11" s="8" t="inlineStr"/>
      <c r="B11" s="8" t="inlineStr">
        <is>
          <t>Subtotal/Cierre de capítulo</t>
        </is>
      </c>
      <c r="C11" s="8" t="inlineStr"/>
      <c r="D11" s="8" t="inlineStr">
        <is>
          <t>Subtotal ESTRUCTURA</t>
        </is>
      </c>
      <c r="E11" s="9" t="n">
        <v>1</v>
      </c>
      <c r="F11" s="9">
        <f>SUM(G7,G10)</f>
        <v/>
      </c>
      <c r="G11" s="9">
        <f>ROUND(E11*F11,2)</f>
        <v/>
      </c>
    </row>
    <row r="12">
      <c r="A12" s="4" t="inlineStr">
        <is>
          <t>DUP-CH-05</t>
        </is>
      </c>
      <c r="B12" s="4" t="inlineStr">
        <is>
          <t>Capítulo</t>
        </is>
      </c>
      <c r="C12" s="4" t="inlineStr"/>
      <c r="D12" s="4" t="inlineStr">
        <is>
          <t>TERMINACIONES</t>
        </is>
      </c>
      <c r="E12" s="5">
        <f>E19</f>
        <v/>
      </c>
      <c r="F12" s="5">
        <f>F19</f>
        <v/>
      </c>
      <c r="G12" s="5">
        <f>G19</f>
        <v/>
      </c>
    </row>
    <row r="13">
      <c r="A13" s="4" t="inlineStr">
        <is>
          <t>DUP-CH-05.01</t>
        </is>
      </c>
      <c r="B13" s="4" t="inlineStr">
        <is>
          <t>Capítulo</t>
        </is>
      </c>
      <c r="C13" s="4" t="inlineStr"/>
      <c r="D13" s="4" t="inlineStr">
        <is>
          <t>TERMINACION DE SUPERFICIES</t>
        </is>
      </c>
      <c r="E13" s="5">
        <f>E18</f>
        <v/>
      </c>
      <c r="F13" s="5">
        <f>F18</f>
        <v/>
      </c>
      <c r="G13" s="5">
        <f>G18</f>
        <v/>
      </c>
    </row>
    <row r="14">
      <c r="A14" s="6" t="inlineStr">
        <is>
          <t>P0501102</t>
        </is>
      </c>
      <c r="B14" s="6" t="inlineStr">
        <is>
          <t>Partida</t>
        </is>
      </c>
      <c r="C14" s="6" t="inlineStr">
        <is>
          <t>m2</t>
        </is>
      </c>
      <c r="D14" s="6" t="inlineStr">
        <is>
          <t>Pañete liso sobre muros exteriores e=2.00cm</t>
        </is>
      </c>
      <c r="E14" s="7" t="n">
        <v>10780.96320000092</v>
      </c>
      <c r="F14" s="7" t="n">
        <v>551.27</v>
      </c>
      <c r="G14" s="7">
        <f>ROUND(E14*F14,2)</f>
        <v/>
      </c>
    </row>
    <row r="15">
      <c r="A15" s="6" t="inlineStr">
        <is>
          <t>P0501102</t>
        </is>
      </c>
      <c r="B15" s="6" t="inlineStr">
        <is>
          <t>Partida</t>
        </is>
      </c>
      <c r="C15" s="6" t="inlineStr">
        <is>
          <t>m2</t>
        </is>
      </c>
      <c r="D15" s="6" t="inlineStr">
        <is>
          <t>Pañete liso sobre muros exteriores e=2.00cm</t>
        </is>
      </c>
      <c r="E15" s="7" t="n">
        <v>22893.95359999995</v>
      </c>
      <c r="F15" s="7" t="n">
        <v>551.27</v>
      </c>
      <c r="G15" s="7">
        <f>ROUND(E15*F15,2)</f>
        <v/>
      </c>
    </row>
    <row r="16">
      <c r="A16" s="6" t="inlineStr">
        <is>
          <t>P1801102</t>
        </is>
      </c>
      <c r="B16" s="6" t="inlineStr">
        <is>
          <t>Partida</t>
        </is>
      </c>
      <c r="C16" s="6" t="inlineStr">
        <is>
          <t>m2</t>
        </is>
      </c>
      <c r="D16" s="6" t="inlineStr">
        <is>
          <t>Pintura Acrílica Exterior</t>
        </is>
      </c>
      <c r="E16" s="7" t="n">
        <v>10780.96320000092</v>
      </c>
      <c r="F16" s="7" t="n">
        <v>548.7</v>
      </c>
      <c r="G16" s="7">
        <f>ROUND(E16*F16,2)</f>
        <v/>
      </c>
    </row>
    <row r="17">
      <c r="A17" s="6" t="inlineStr">
        <is>
          <t>P1801102</t>
        </is>
      </c>
      <c r="B17" s="6" t="inlineStr">
        <is>
          <t>Partida</t>
        </is>
      </c>
      <c r="C17" s="6" t="inlineStr">
        <is>
          <t>m2</t>
        </is>
      </c>
      <c r="D17" s="6" t="inlineStr">
        <is>
          <t>Pintura Acrílica Exterior</t>
        </is>
      </c>
      <c r="E17" s="7" t="n">
        <v>22893.95359999995</v>
      </c>
      <c r="F17" s="7" t="n">
        <v>548.7</v>
      </c>
      <c r="G17" s="7">
        <f>ROUND(E17*F17,2)</f>
        <v/>
      </c>
    </row>
    <row r="18">
      <c r="A18" s="8" t="inlineStr"/>
      <c r="B18" s="8" t="inlineStr">
        <is>
          <t>Subtotal/Cierre de capítulo</t>
        </is>
      </c>
      <c r="C18" s="8" t="inlineStr"/>
      <c r="D18" s="8" t="inlineStr">
        <is>
          <t>Subtotal TERMINACION DE SUPERFICIES</t>
        </is>
      </c>
      <c r="E18" s="9" t="n">
        <v>1</v>
      </c>
      <c r="F18" s="9">
        <f>SUM(G14,G15,G16,G17)</f>
        <v/>
      </c>
      <c r="G18" s="9">
        <f>ROUND(E18*F18,2)</f>
        <v/>
      </c>
    </row>
    <row r="19">
      <c r="A19" s="8" t="inlineStr"/>
      <c r="B19" s="8" t="inlineStr">
        <is>
          <t>Subtotal/Cierre de capítulo</t>
        </is>
      </c>
      <c r="C19" s="8" t="inlineStr"/>
      <c r="D19" s="8" t="inlineStr">
        <is>
          <t>Subtotal TERMINACIONES</t>
        </is>
      </c>
      <c r="E19" s="9" t="n">
        <v>1</v>
      </c>
      <c r="F19" s="9">
        <f>SUM(G18)</f>
        <v/>
      </c>
      <c r="G19" s="9">
        <f>ROUND(E19*F19,2)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2026-04-05T18:50:21Z</dcterms:created>
  <dcterms:modified xsi:type="dcterms:W3CDTF">2026-04-05T18:50:21Z</dcterms:modified>
</cp:coreProperties>
</file>